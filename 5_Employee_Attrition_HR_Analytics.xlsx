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_Data" sheetId="1" state="visible" r:id="rId3"/>
    <sheet name="HR_KPI_Summary" sheetId="2" state="visible" r:id="rId4"/>
    <sheet name="Dept_Attrition" sheetId="3" state="visible" r:id="rId5"/>
    <sheet name="Salary_Band_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<sst xmlns="http://schemas.openxmlformats.org/spreadsheetml/2006/main" count="1275" uniqueCount="300">
  <si>
    <t xml:space="preserve">EMPLOYEE ATTRITION &amp; HR ANALYTICS — Dataset (200 Records)</t>
  </si>
  <si>
    <t xml:space="preserve">Emp_ID</t>
  </si>
  <si>
    <t xml:space="preserve">Age</t>
  </si>
  <si>
    <t xml:space="preserve">Gender</t>
  </si>
  <si>
    <t xml:space="preserve">Department</t>
  </si>
  <si>
    <t xml:space="preserve">Job_Role</t>
  </si>
  <si>
    <t xml:space="preserve">Salary_INR</t>
  </si>
  <si>
    <t xml:space="preserve">Experience_Yrs</t>
  </si>
  <si>
    <t xml:space="preserve">Performance_Rating</t>
  </si>
  <si>
    <t xml:space="preserve">WorkLife_Balance</t>
  </si>
  <si>
    <t xml:space="preserve">Satisfaction_Score</t>
  </si>
  <si>
    <t xml:space="preserve">Overtime</t>
  </si>
  <si>
    <t xml:space="preserve">Attrition</t>
  </si>
  <si>
    <t xml:space="preserve">Attrition_Binary</t>
  </si>
  <si>
    <t xml:space="preserve">EMP0001</t>
  </si>
  <si>
    <t xml:space="preserve">M</t>
  </si>
  <si>
    <t xml:space="preserve">IT</t>
  </si>
  <si>
    <t xml:space="preserve">IT Analyst</t>
  </si>
  <si>
    <t xml:space="preserve">No</t>
  </si>
  <si>
    <t xml:space="preserve">EMP0002</t>
  </si>
  <si>
    <t xml:space="preserve">F</t>
  </si>
  <si>
    <t xml:space="preserve">R&amp;D</t>
  </si>
  <si>
    <t xml:space="preserve">Data Scientist</t>
  </si>
  <si>
    <t xml:space="preserve">Yes</t>
  </si>
  <si>
    <t xml:space="preserve">EMP0003</t>
  </si>
  <si>
    <t xml:space="preserve">Sales</t>
  </si>
  <si>
    <t xml:space="preserve">Business Dev Associate</t>
  </si>
  <si>
    <t xml:space="preserve">EMP0004</t>
  </si>
  <si>
    <t xml:space="preserve">Operations</t>
  </si>
  <si>
    <t xml:space="preserve">Process Executive</t>
  </si>
  <si>
    <t xml:space="preserve">EMP0005</t>
  </si>
  <si>
    <t xml:space="preserve">HR</t>
  </si>
  <si>
    <t xml:space="preserve">HR Manager</t>
  </si>
  <si>
    <t xml:space="preserve">EMP0006</t>
  </si>
  <si>
    <t xml:space="preserve">QA Engineer</t>
  </si>
  <si>
    <t xml:space="preserve">EMP0007</t>
  </si>
  <si>
    <t xml:space="preserve">Product Developer</t>
  </si>
  <si>
    <t xml:space="preserve">EMP0008</t>
  </si>
  <si>
    <t xml:space="preserve">EMP0009</t>
  </si>
  <si>
    <t xml:space="preserve">Sales Executive</t>
  </si>
  <si>
    <t xml:space="preserve">EMP0010</t>
  </si>
  <si>
    <t xml:space="preserve">Customer Service</t>
  </si>
  <si>
    <t xml:space="preserve">Support Executive</t>
  </si>
  <si>
    <t xml:space="preserve">EMP0011</t>
  </si>
  <si>
    <t xml:space="preserve">EMP0012</t>
  </si>
  <si>
    <t xml:space="preserve">Finance</t>
  </si>
  <si>
    <t xml:space="preserve">Finance Manager</t>
  </si>
  <si>
    <t xml:space="preserve">EMP0013</t>
  </si>
  <si>
    <t xml:space="preserve">Operations Analyst</t>
  </si>
  <si>
    <t xml:space="preserve">EMP0014</t>
  </si>
  <si>
    <t xml:space="preserve">EMP0015</t>
  </si>
  <si>
    <t xml:space="preserve">EMP0016</t>
  </si>
  <si>
    <t xml:space="preserve">Accountant</t>
  </si>
  <si>
    <t xml:space="preserve">EMP0017</t>
  </si>
  <si>
    <t xml:space="preserve">Sales Manager</t>
  </si>
  <si>
    <t xml:space="preserve">EMP0018</t>
  </si>
  <si>
    <t xml:space="preserve">HR Executive</t>
  </si>
  <si>
    <t xml:space="preserve">EMP0019</t>
  </si>
  <si>
    <t xml:space="preserve">Research Analyst</t>
  </si>
  <si>
    <t xml:space="preserve">EMP0020</t>
  </si>
  <si>
    <t xml:space="preserve">EMP0021</t>
  </si>
  <si>
    <t xml:space="preserve">Marketing</t>
  </si>
  <si>
    <t xml:space="preserve">Brand Manager</t>
  </si>
  <si>
    <t xml:space="preserve">EMP0022</t>
  </si>
  <si>
    <t xml:space="preserve">Software Engineer</t>
  </si>
  <si>
    <t xml:space="preserve">EMP0023</t>
  </si>
  <si>
    <t xml:space="preserve">Financial Analyst</t>
  </si>
  <si>
    <t xml:space="preserve">EMP0024</t>
  </si>
  <si>
    <t xml:space="preserve">Systems Admin</t>
  </si>
  <si>
    <t xml:space="preserve">EMP0025</t>
  </si>
  <si>
    <t xml:space="preserve">EMP0026</t>
  </si>
  <si>
    <t xml:space="preserve">EMP0027</t>
  </si>
  <si>
    <t xml:space="preserve">EMP0028</t>
  </si>
  <si>
    <t xml:space="preserve">EMP0029</t>
  </si>
  <si>
    <t xml:space="preserve">CX Analyst</t>
  </si>
  <si>
    <t xml:space="preserve">EMP0030</t>
  </si>
  <si>
    <t xml:space="preserve">EMP0031</t>
  </si>
  <si>
    <t xml:space="preserve">Recruiter</t>
  </si>
  <si>
    <t xml:space="preserve">EMP0032</t>
  </si>
  <si>
    <t xml:space="preserve">EMP0033</t>
  </si>
  <si>
    <t xml:space="preserve">EMP0034</t>
  </si>
  <si>
    <t xml:space="preserve">EMP0035</t>
  </si>
  <si>
    <t xml:space="preserve">EMP0036</t>
  </si>
  <si>
    <t xml:space="preserve">Operations Manager</t>
  </si>
  <si>
    <t xml:space="preserve">EMP0037</t>
  </si>
  <si>
    <t xml:space="preserve">Marketing Executive</t>
  </si>
  <si>
    <t xml:space="preserve">EMP0038</t>
  </si>
  <si>
    <t xml:space="preserve">L&amp;D Specialist</t>
  </si>
  <si>
    <t xml:space="preserve">EMP0039</t>
  </si>
  <si>
    <t xml:space="preserve">Digital Analyst</t>
  </si>
  <si>
    <t xml:space="preserve">EMP0040</t>
  </si>
  <si>
    <t xml:space="preserve">EMP0041</t>
  </si>
  <si>
    <t xml:space="preserve">EMP0042</t>
  </si>
  <si>
    <t xml:space="preserve">EMP0043</t>
  </si>
  <si>
    <t xml:space="preserve">EMP0044</t>
  </si>
  <si>
    <t xml:space="preserve">EMP0045</t>
  </si>
  <si>
    <t xml:space="preserve">EMP0046</t>
  </si>
  <si>
    <t xml:space="preserve">EMP0047</t>
  </si>
  <si>
    <t xml:space="preserve">EMP0048</t>
  </si>
  <si>
    <t xml:space="preserve">EMP0049</t>
  </si>
  <si>
    <t xml:space="preserve">EMP0050</t>
  </si>
  <si>
    <t xml:space="preserve">EMP0051</t>
  </si>
  <si>
    <t xml:space="preserve">EMP0052</t>
  </si>
  <si>
    <t xml:space="preserve">EMP0053</t>
  </si>
  <si>
    <t xml:space="preserve">EMP0054</t>
  </si>
  <si>
    <t xml:space="preserve">EMP0055</t>
  </si>
  <si>
    <t xml:space="preserve">EMP0056</t>
  </si>
  <si>
    <t xml:space="preserve">EMP0057</t>
  </si>
  <si>
    <t xml:space="preserve">EMP0058</t>
  </si>
  <si>
    <t xml:space="preserve">EMP0059</t>
  </si>
  <si>
    <t xml:space="preserve">EMP0060</t>
  </si>
  <si>
    <t xml:space="preserve">EMP0061</t>
  </si>
  <si>
    <t xml:space="preserve">EMP0062</t>
  </si>
  <si>
    <t xml:space="preserve">EMP0063</t>
  </si>
  <si>
    <t xml:space="preserve">EMP0064</t>
  </si>
  <si>
    <t xml:space="preserve">EMP0065</t>
  </si>
  <si>
    <t xml:space="preserve">EMP0066</t>
  </si>
  <si>
    <t xml:space="preserve">EMP0067</t>
  </si>
  <si>
    <t xml:space="preserve">EMP0068</t>
  </si>
  <si>
    <t xml:space="preserve">EMP0069</t>
  </si>
  <si>
    <t xml:space="preserve">EMP0070</t>
  </si>
  <si>
    <t xml:space="preserve">EMP0071</t>
  </si>
  <si>
    <t xml:space="preserve">EMP0072</t>
  </si>
  <si>
    <t xml:space="preserve">EMP0073</t>
  </si>
  <si>
    <t xml:space="preserve">EMP0074</t>
  </si>
  <si>
    <t xml:space="preserve">EMP0075</t>
  </si>
  <si>
    <t xml:space="preserve">EMP0076</t>
  </si>
  <si>
    <t xml:space="preserve">EMP0077</t>
  </si>
  <si>
    <t xml:space="preserve">EMP0078</t>
  </si>
  <si>
    <t xml:space="preserve">EMP0079</t>
  </si>
  <si>
    <t xml:space="preserve">EMP0080</t>
  </si>
  <si>
    <t xml:space="preserve">EMP0081</t>
  </si>
  <si>
    <t xml:space="preserve">EMP0082</t>
  </si>
  <si>
    <t xml:space="preserve">EMP0083</t>
  </si>
  <si>
    <t xml:space="preserve">EMP0084</t>
  </si>
  <si>
    <t xml:space="preserve">EMP0085</t>
  </si>
  <si>
    <t xml:space="preserve">EMP0086</t>
  </si>
  <si>
    <t xml:space="preserve">EMP0087</t>
  </si>
  <si>
    <t xml:space="preserve">EMP0088</t>
  </si>
  <si>
    <t xml:space="preserve">EMP0089</t>
  </si>
  <si>
    <t xml:space="preserve">Team Lead</t>
  </si>
  <si>
    <t xml:space="preserve">EMP0090</t>
  </si>
  <si>
    <t xml:space="preserve">EMP0091</t>
  </si>
  <si>
    <t xml:space="preserve">EMP0092</t>
  </si>
  <si>
    <t xml:space="preserve">EMP0093</t>
  </si>
  <si>
    <t xml:space="preserve">EMP0094</t>
  </si>
  <si>
    <t xml:space="preserve">EMP0095</t>
  </si>
  <si>
    <t xml:space="preserve">EMP0096</t>
  </si>
  <si>
    <t xml:space="preserve">EMP0097</t>
  </si>
  <si>
    <t xml:space="preserve">EMP0098</t>
  </si>
  <si>
    <t xml:space="preserve">EMP0099</t>
  </si>
  <si>
    <t xml:space="preserve">EMP0100</t>
  </si>
  <si>
    <t xml:space="preserve">EMP0101</t>
  </si>
  <si>
    <t xml:space="preserve">EMP0102</t>
  </si>
  <si>
    <t xml:space="preserve">EMP0103</t>
  </si>
  <si>
    <t xml:space="preserve">EMP0104</t>
  </si>
  <si>
    <t xml:space="preserve">EMP0105</t>
  </si>
  <si>
    <t xml:space="preserve">EMP0106</t>
  </si>
  <si>
    <t xml:space="preserve">EMP0107</t>
  </si>
  <si>
    <t xml:space="preserve">EMP0108</t>
  </si>
  <si>
    <t xml:space="preserve">EMP0109</t>
  </si>
  <si>
    <t xml:space="preserve">EMP0110</t>
  </si>
  <si>
    <t xml:space="preserve">EMP0111</t>
  </si>
  <si>
    <t xml:space="preserve">EMP0112</t>
  </si>
  <si>
    <t xml:space="preserve">EMP0113</t>
  </si>
  <si>
    <t xml:space="preserve">EMP0114</t>
  </si>
  <si>
    <t xml:space="preserve">EMP0115</t>
  </si>
  <si>
    <t xml:space="preserve">EMP0116</t>
  </si>
  <si>
    <t xml:space="preserve">EMP0117</t>
  </si>
  <si>
    <t xml:space="preserve">EMP0118</t>
  </si>
  <si>
    <t xml:space="preserve">EMP0119</t>
  </si>
  <si>
    <t xml:space="preserve">EMP0120</t>
  </si>
  <si>
    <t xml:space="preserve">EMP0121</t>
  </si>
  <si>
    <t xml:space="preserve">EMP0122</t>
  </si>
  <si>
    <t xml:space="preserve">EMP0123</t>
  </si>
  <si>
    <t xml:space="preserve">EMP0124</t>
  </si>
  <si>
    <t xml:space="preserve">EMP0125</t>
  </si>
  <si>
    <t xml:space="preserve">EMP0126</t>
  </si>
  <si>
    <t xml:space="preserve">EMP0127</t>
  </si>
  <si>
    <t xml:space="preserve">EMP0128</t>
  </si>
  <si>
    <t xml:space="preserve">EMP0129</t>
  </si>
  <si>
    <t xml:space="preserve">EMP0130</t>
  </si>
  <si>
    <t xml:space="preserve">EMP0131</t>
  </si>
  <si>
    <t xml:space="preserve">EMP0132</t>
  </si>
  <si>
    <t xml:space="preserve">EMP0133</t>
  </si>
  <si>
    <t xml:space="preserve">EMP0134</t>
  </si>
  <si>
    <t xml:space="preserve">EMP0135</t>
  </si>
  <si>
    <t xml:space="preserve">EMP0136</t>
  </si>
  <si>
    <t xml:space="preserve">EMP0137</t>
  </si>
  <si>
    <t xml:space="preserve">EMP0138</t>
  </si>
  <si>
    <t xml:space="preserve">EMP0139</t>
  </si>
  <si>
    <t xml:space="preserve">EMP0140</t>
  </si>
  <si>
    <t xml:space="preserve">EMP0141</t>
  </si>
  <si>
    <t xml:space="preserve">EMP0142</t>
  </si>
  <si>
    <t xml:space="preserve">EMP0143</t>
  </si>
  <si>
    <t xml:space="preserve">EMP0144</t>
  </si>
  <si>
    <t xml:space="preserve">EMP0145</t>
  </si>
  <si>
    <t xml:space="preserve">EMP0146</t>
  </si>
  <si>
    <t xml:space="preserve">EMP0147</t>
  </si>
  <si>
    <t xml:space="preserve">EMP0148</t>
  </si>
  <si>
    <t xml:space="preserve">EMP0149</t>
  </si>
  <si>
    <t xml:space="preserve">EMP0150</t>
  </si>
  <si>
    <t xml:space="preserve">EMP0151</t>
  </si>
  <si>
    <t xml:space="preserve">EMP0152</t>
  </si>
  <si>
    <t xml:space="preserve">EMP0153</t>
  </si>
  <si>
    <t xml:space="preserve">EMP0154</t>
  </si>
  <si>
    <t xml:space="preserve">EMP0155</t>
  </si>
  <si>
    <t xml:space="preserve">EMP0156</t>
  </si>
  <si>
    <t xml:space="preserve">EMP0157</t>
  </si>
  <si>
    <t xml:space="preserve">EMP0158</t>
  </si>
  <si>
    <t xml:space="preserve">EMP0159</t>
  </si>
  <si>
    <t xml:space="preserve">EMP0160</t>
  </si>
  <si>
    <t xml:space="preserve">EMP0161</t>
  </si>
  <si>
    <t xml:space="preserve">EMP0162</t>
  </si>
  <si>
    <t xml:space="preserve">EMP0163</t>
  </si>
  <si>
    <t xml:space="preserve">EMP0164</t>
  </si>
  <si>
    <t xml:space="preserve">EMP0165</t>
  </si>
  <si>
    <t xml:space="preserve">EMP0166</t>
  </si>
  <si>
    <t xml:space="preserve">EMP0167</t>
  </si>
  <si>
    <t xml:space="preserve">EMP0168</t>
  </si>
  <si>
    <t xml:space="preserve">EMP0169</t>
  </si>
  <si>
    <t xml:space="preserve">EMP0170</t>
  </si>
  <si>
    <t xml:space="preserve">EMP0171</t>
  </si>
  <si>
    <t xml:space="preserve">EMP0172</t>
  </si>
  <si>
    <t xml:space="preserve">EMP0173</t>
  </si>
  <si>
    <t xml:space="preserve">EMP0174</t>
  </si>
  <si>
    <t xml:space="preserve">EMP0175</t>
  </si>
  <si>
    <t xml:space="preserve">EMP0176</t>
  </si>
  <si>
    <t xml:space="preserve">EMP0177</t>
  </si>
  <si>
    <t xml:space="preserve">EMP0178</t>
  </si>
  <si>
    <t xml:space="preserve">EMP0179</t>
  </si>
  <si>
    <t xml:space="preserve">EMP0180</t>
  </si>
  <si>
    <t xml:space="preserve">EMP0181</t>
  </si>
  <si>
    <t xml:space="preserve">EMP0182</t>
  </si>
  <si>
    <t xml:space="preserve">EMP0183</t>
  </si>
  <si>
    <t xml:space="preserve">EMP0184</t>
  </si>
  <si>
    <t xml:space="preserve">EMP0185</t>
  </si>
  <si>
    <t xml:space="preserve">EMP0186</t>
  </si>
  <si>
    <t xml:space="preserve">EMP0187</t>
  </si>
  <si>
    <t xml:space="preserve">EMP0188</t>
  </si>
  <si>
    <t xml:space="preserve">EMP0189</t>
  </si>
  <si>
    <t xml:space="preserve">EMP0190</t>
  </si>
  <si>
    <t xml:space="preserve">EMP0191</t>
  </si>
  <si>
    <t xml:space="preserve">EMP0192</t>
  </si>
  <si>
    <t xml:space="preserve">EMP0193</t>
  </si>
  <si>
    <t xml:space="preserve">EMP0194</t>
  </si>
  <si>
    <t xml:space="preserve">EMP0195</t>
  </si>
  <si>
    <t xml:space="preserve">EMP0196</t>
  </si>
  <si>
    <t xml:space="preserve">EMP0197</t>
  </si>
  <si>
    <t xml:space="preserve">EMP0198</t>
  </si>
  <si>
    <t xml:space="preserve">EMP0199</t>
  </si>
  <si>
    <t xml:space="preserve">EMP0200</t>
  </si>
  <si>
    <t xml:space="preserve">HR ANALYTICS — KPI SUMMARY DASHBOARD</t>
  </si>
  <si>
    <t xml:space="preserve">KPI Metric</t>
  </si>
  <si>
    <t xml:space="preserve">Value</t>
  </si>
  <si>
    <t xml:space="preserve">Formula</t>
  </si>
  <si>
    <t xml:space="preserve">Insight / Action</t>
  </si>
  <si>
    <t xml:space="preserve">Total Employees</t>
  </si>
  <si>
    <t xml:space="preserve">Total workforce headcount</t>
  </si>
  <si>
    <t xml:space="preserve">Total Attrition (Left)</t>
  </si>
  <si>
    <t xml:space="preserve">Employees who left</t>
  </si>
  <si>
    <t xml:space="preserve">Attrition Rate %</t>
  </si>
  <si>
    <t xml:space="preserve">Target: &lt;15%</t>
  </si>
  <si>
    <t xml:space="preserve">Average Salary (INR)</t>
  </si>
  <si>
    <t xml:space="preserve">Benchmark vs market</t>
  </si>
  <si>
    <t xml:space="preserve">Average Experience (Yrs)</t>
  </si>
  <si>
    <t xml:space="preserve">Workforce maturity</t>
  </si>
  <si>
    <t xml:space="preserve">Average Age</t>
  </si>
  <si>
    <t xml:space="preserve">Workforce age profile</t>
  </si>
  <si>
    <t xml:space="preserve">Satisfaction Index (Avg)</t>
  </si>
  <si>
    <t xml:space="preserve">Target: &gt;7.0</t>
  </si>
  <si>
    <t xml:space="preserve">Avg Work-Life Balance</t>
  </si>
  <si>
    <t xml:space="preserve">Scale 1-4; Target: &gt;3</t>
  </si>
  <si>
    <t xml:space="preserve">Avg Performance Rating</t>
  </si>
  <si>
    <t xml:space="preserve">Scale 1-5</t>
  </si>
  <si>
    <t xml:space="preserve">Overtime Employee Count</t>
  </si>
  <si>
    <t xml:space="preserve">High OT = burnout risk</t>
  </si>
  <si>
    <t xml:space="preserve">Overtime Attrition Rate</t>
  </si>
  <si>
    <t xml:space="preserve">Compare vs non-OT attrition</t>
  </si>
  <si>
    <t xml:space="preserve">Male Employees</t>
  </si>
  <si>
    <t xml:space="preserve">Gender diversity check</t>
  </si>
  <si>
    <t xml:space="preserve">Female Employees</t>
  </si>
  <si>
    <t xml:space="preserve">Female Attrition Rate</t>
  </si>
  <si>
    <t xml:space="preserve">Gender-specific retention</t>
  </si>
  <si>
    <t xml:space="preserve">DEPARTMENT-WISE ATTRITION ANALYSIS</t>
  </si>
  <si>
    <t xml:space="preserve">Attrited</t>
  </si>
  <si>
    <t xml:space="preserve">Avg Salary (INR)</t>
  </si>
  <si>
    <t xml:space="preserve">Avg Satisfaction</t>
  </si>
  <si>
    <t xml:space="preserve">Avg Experience (Yrs)</t>
  </si>
  <si>
    <t xml:space="preserve">TOTAL / AVG</t>
  </si>
  <si>
    <t xml:space="preserve">SALARY BAND ATTRITION ANALYSIS</t>
  </si>
  <si>
    <t xml:space="preserve">Salary Band</t>
  </si>
  <si>
    <t xml:space="preserve">Min Salary (INR)</t>
  </si>
  <si>
    <t xml:space="preserve">Max Salary (INR)</t>
  </si>
  <si>
    <t xml:space="preserve">Employee Count</t>
  </si>
  <si>
    <t xml:space="preserve">Below ₹30K</t>
  </si>
  <si>
    <t xml:space="preserve">₹30K–₹50K</t>
  </si>
  <si>
    <t xml:space="preserve">₹50K–₹70K</t>
  </si>
  <si>
    <t xml:space="preserve">₹70K–₹90K</t>
  </si>
  <si>
    <t xml:space="preserve">Above ₹90K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</si>
</sst>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#,##0"/>
    <numFmt numFmtId="167" formatCode="@"/>
    <numFmt numFmtId="168" formatCode="0.00%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B4332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DEBD0"/>
      </patternFill>
    </fill>
    <fill>
      <patternFill patternType="solid">
        <fgColor rgb="FFFFF3CD"/>
        <bgColor rgb="FFFDEBD0"/>
      </patternFill>
    </fill>
    <fill>
      <patternFill patternType="solid">
        <fgColor rgb="FFFDEBD0"/>
        <bgColor rgb="FFFFF3CD"/>
      </patternFill>
    </fill>
    <fill>
      <patternFill patternType="solid">
        <fgColor rgb="FFD6EAF8"/>
        <bgColor rgb="FFD5F5E3"/>
      </patternFill>
    </fill>
    <fill>
      <patternFill patternType="solid">
        <fgColor rgb="FFA9DFBF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DEBD0"/>
      <rgbColor rgb="FFA9DFB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2" min="11" style="0" width="10"/>
    <col collapsed="false" customWidth="true" hidden="false" outlineLevel="0" max="13" min="13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n">
        <v>41</v>
      </c>
      <c r="C3" s="3" t="s">
        <v>15</v>
      </c>
      <c r="D3" s="4" t="s">
        <v>16</v>
      </c>
      <c r="E3" s="4" t="s">
        <v>17</v>
      </c>
      <c r="F3" s="5" t="n">
        <v>78749</v>
      </c>
      <c r="G3" s="3" t="n">
        <v>3</v>
      </c>
      <c r="H3" s="3" t="n">
        <v>3</v>
      </c>
      <c r="I3" s="3" t="n">
        <v>1</v>
      </c>
      <c r="J3" s="3" t="n">
        <v>5.5</v>
      </c>
      <c r="K3" s="3" t="s">
        <v>18</v>
      </c>
      <c r="L3" s="3" t="s">
        <v>18</v>
      </c>
      <c r="M3" s="6" t="n">
        <v>0</v>
      </c>
    </row>
    <row r="4" customFormat="false" ht="15" hidden="false" customHeight="false" outlineLevel="0" collapsed="false">
      <c r="A4" s="3" t="s">
        <v>19</v>
      </c>
      <c r="B4" s="3" t="n">
        <v>42</v>
      </c>
      <c r="C4" s="3" t="s">
        <v>20</v>
      </c>
      <c r="D4" s="4" t="s">
        <v>21</v>
      </c>
      <c r="E4" s="4" t="s">
        <v>22</v>
      </c>
      <c r="F4" s="5" t="n">
        <v>128849</v>
      </c>
      <c r="G4" s="3" t="n">
        <v>14</v>
      </c>
      <c r="H4" s="3" t="n">
        <v>1</v>
      </c>
      <c r="I4" s="3" t="n">
        <v>3</v>
      </c>
      <c r="J4" s="3" t="n">
        <v>3.3</v>
      </c>
      <c r="K4" s="3" t="s">
        <v>23</v>
      </c>
      <c r="L4" s="3" t="s">
        <v>18</v>
      </c>
      <c r="M4" s="6" t="n">
        <v>0</v>
      </c>
    </row>
    <row r="5" customFormat="false" ht="15" hidden="false" customHeight="false" outlineLevel="0" collapsed="false">
      <c r="A5" s="3" t="s">
        <v>24</v>
      </c>
      <c r="B5" s="3" t="n">
        <v>36</v>
      </c>
      <c r="C5" s="3" t="s">
        <v>20</v>
      </c>
      <c r="D5" s="4" t="s">
        <v>25</v>
      </c>
      <c r="E5" s="4" t="s">
        <v>26</v>
      </c>
      <c r="F5" s="5" t="n">
        <v>35753</v>
      </c>
      <c r="G5" s="3" t="n">
        <v>1</v>
      </c>
      <c r="H5" s="3" t="n">
        <v>1</v>
      </c>
      <c r="I5" s="3" t="n">
        <v>4</v>
      </c>
      <c r="J5" s="3" t="n">
        <v>4.4</v>
      </c>
      <c r="K5" s="3" t="s">
        <v>23</v>
      </c>
      <c r="L5" s="3" t="s">
        <v>23</v>
      </c>
      <c r="M5" s="6" t="n">
        <v>1</v>
      </c>
    </row>
    <row r="6" customFormat="false" ht="15" hidden="false" customHeight="false" outlineLevel="0" collapsed="false">
      <c r="A6" s="3" t="s">
        <v>27</v>
      </c>
      <c r="B6" s="3" t="n">
        <v>28</v>
      </c>
      <c r="C6" s="3" t="s">
        <v>15</v>
      </c>
      <c r="D6" s="4" t="s">
        <v>28</v>
      </c>
      <c r="E6" s="4" t="s">
        <v>29</v>
      </c>
      <c r="F6" s="5" t="n">
        <v>55066</v>
      </c>
      <c r="G6" s="3" t="n">
        <v>7</v>
      </c>
      <c r="H6" s="3" t="n">
        <v>3</v>
      </c>
      <c r="I6" s="3" t="n">
        <v>3</v>
      </c>
      <c r="J6" s="3" t="n">
        <v>5.5</v>
      </c>
      <c r="K6" s="3" t="s">
        <v>23</v>
      </c>
      <c r="L6" s="3" t="s">
        <v>18</v>
      </c>
      <c r="M6" s="6" t="n">
        <v>0</v>
      </c>
    </row>
    <row r="7" customFormat="false" ht="15" hidden="false" customHeight="false" outlineLevel="0" collapsed="false">
      <c r="A7" s="3" t="s">
        <v>30</v>
      </c>
      <c r="B7" s="3" t="n">
        <v>41</v>
      </c>
      <c r="C7" s="3" t="s">
        <v>15</v>
      </c>
      <c r="D7" s="4" t="s">
        <v>31</v>
      </c>
      <c r="E7" s="4" t="s">
        <v>32</v>
      </c>
      <c r="F7" s="5" t="n">
        <v>66732</v>
      </c>
      <c r="G7" s="3" t="n">
        <v>18</v>
      </c>
      <c r="H7" s="3" t="n">
        <v>2</v>
      </c>
      <c r="I7" s="3" t="n">
        <v>3</v>
      </c>
      <c r="J7" s="3" t="n">
        <v>7.5</v>
      </c>
      <c r="K7" s="3" t="s">
        <v>18</v>
      </c>
      <c r="L7" s="3" t="s">
        <v>18</v>
      </c>
      <c r="M7" s="6" t="n">
        <v>0</v>
      </c>
    </row>
    <row r="8" customFormat="false" ht="15" hidden="false" customHeight="false" outlineLevel="0" collapsed="false">
      <c r="A8" s="3" t="s">
        <v>33</v>
      </c>
      <c r="B8" s="3" t="n">
        <v>38</v>
      </c>
      <c r="C8" s="3" t="s">
        <v>15</v>
      </c>
      <c r="D8" s="4" t="s">
        <v>16</v>
      </c>
      <c r="E8" s="4" t="s">
        <v>34</v>
      </c>
      <c r="F8" s="5" t="n">
        <v>77243</v>
      </c>
      <c r="G8" s="3" t="n">
        <v>2</v>
      </c>
      <c r="H8" s="3" t="n">
        <v>3</v>
      </c>
      <c r="I8" s="3" t="n">
        <v>3</v>
      </c>
      <c r="J8" s="3" t="n">
        <v>5.2</v>
      </c>
      <c r="K8" s="3" t="s">
        <v>23</v>
      </c>
      <c r="L8" s="3" t="s">
        <v>23</v>
      </c>
      <c r="M8" s="6" t="n">
        <v>1</v>
      </c>
    </row>
    <row r="9" customFormat="false" ht="15" hidden="false" customHeight="false" outlineLevel="0" collapsed="false">
      <c r="A9" s="3" t="s">
        <v>35</v>
      </c>
      <c r="B9" s="3" t="n">
        <v>53</v>
      </c>
      <c r="C9" s="3" t="s">
        <v>20</v>
      </c>
      <c r="D9" s="4" t="s">
        <v>21</v>
      </c>
      <c r="E9" s="4" t="s">
        <v>36</v>
      </c>
      <c r="F9" s="5" t="n">
        <v>81447</v>
      </c>
      <c r="G9" s="3" t="n">
        <v>3</v>
      </c>
      <c r="H9" s="3" t="n">
        <v>5</v>
      </c>
      <c r="I9" s="3" t="n">
        <v>3</v>
      </c>
      <c r="J9" s="3" t="n">
        <v>3.9</v>
      </c>
      <c r="K9" s="3" t="s">
        <v>23</v>
      </c>
      <c r="L9" s="3" t="s">
        <v>18</v>
      </c>
      <c r="M9" s="6" t="n">
        <v>0</v>
      </c>
    </row>
    <row r="10" customFormat="false" ht="15" hidden="false" customHeight="false" outlineLevel="0" collapsed="false">
      <c r="A10" s="3" t="s">
        <v>37</v>
      </c>
      <c r="B10" s="3" t="n">
        <v>33</v>
      </c>
      <c r="C10" s="3" t="s">
        <v>15</v>
      </c>
      <c r="D10" s="4" t="s">
        <v>21</v>
      </c>
      <c r="E10" s="4" t="s">
        <v>36</v>
      </c>
      <c r="F10" s="5" t="n">
        <v>98986</v>
      </c>
      <c r="G10" s="3" t="n">
        <v>11</v>
      </c>
      <c r="H10" s="3" t="n">
        <v>2</v>
      </c>
      <c r="I10" s="3" t="n">
        <v>3</v>
      </c>
      <c r="J10" s="3" t="n">
        <v>8.8</v>
      </c>
      <c r="K10" s="3" t="s">
        <v>18</v>
      </c>
      <c r="L10" s="3" t="s">
        <v>18</v>
      </c>
      <c r="M10" s="6" t="n">
        <v>0</v>
      </c>
    </row>
    <row r="11" customFormat="false" ht="15" hidden="false" customHeight="false" outlineLevel="0" collapsed="false">
      <c r="A11" s="3" t="s">
        <v>38</v>
      </c>
      <c r="B11" s="3" t="n">
        <v>34</v>
      </c>
      <c r="C11" s="3" t="s">
        <v>20</v>
      </c>
      <c r="D11" s="4" t="s">
        <v>25</v>
      </c>
      <c r="E11" s="4" t="s">
        <v>39</v>
      </c>
      <c r="F11" s="5" t="n">
        <v>44740</v>
      </c>
      <c r="G11" s="3" t="n">
        <v>8</v>
      </c>
      <c r="H11" s="3" t="n">
        <v>5</v>
      </c>
      <c r="I11" s="3" t="n">
        <v>3</v>
      </c>
      <c r="J11" s="3" t="n">
        <v>9.6</v>
      </c>
      <c r="K11" s="3" t="s">
        <v>18</v>
      </c>
      <c r="L11" s="3" t="s">
        <v>18</v>
      </c>
      <c r="M11" s="6" t="n">
        <v>0</v>
      </c>
    </row>
    <row r="12" customFormat="false" ht="15" hidden="false" customHeight="false" outlineLevel="0" collapsed="false">
      <c r="A12" s="3" t="s">
        <v>40</v>
      </c>
      <c r="B12" s="3" t="n">
        <v>33</v>
      </c>
      <c r="C12" s="3" t="s">
        <v>15</v>
      </c>
      <c r="D12" s="4" t="s">
        <v>41</v>
      </c>
      <c r="E12" s="4" t="s">
        <v>42</v>
      </c>
      <c r="F12" s="5" t="n">
        <v>40750</v>
      </c>
      <c r="G12" s="3" t="n">
        <v>9</v>
      </c>
      <c r="H12" s="3" t="n">
        <v>3</v>
      </c>
      <c r="I12" s="3" t="n">
        <v>4</v>
      </c>
      <c r="J12" s="3" t="n">
        <v>7.1</v>
      </c>
      <c r="K12" s="3" t="s">
        <v>18</v>
      </c>
      <c r="L12" s="3" t="s">
        <v>23</v>
      </c>
      <c r="M12" s="6" t="n">
        <v>1</v>
      </c>
    </row>
    <row r="13" customFormat="false" ht="15" hidden="false" customHeight="false" outlineLevel="0" collapsed="false">
      <c r="A13" s="3" t="s">
        <v>43</v>
      </c>
      <c r="B13" s="3" t="n">
        <v>54</v>
      </c>
      <c r="C13" s="3" t="s">
        <v>15</v>
      </c>
      <c r="D13" s="4" t="s">
        <v>25</v>
      </c>
      <c r="E13" s="4" t="s">
        <v>26</v>
      </c>
      <c r="F13" s="5" t="n">
        <v>44225</v>
      </c>
      <c r="G13" s="3" t="n">
        <v>9</v>
      </c>
      <c r="H13" s="3" t="n">
        <v>2</v>
      </c>
      <c r="I13" s="3" t="n">
        <v>4</v>
      </c>
      <c r="J13" s="3" t="n">
        <v>9.7</v>
      </c>
      <c r="K13" s="3" t="s">
        <v>18</v>
      </c>
      <c r="L13" s="3" t="s">
        <v>18</v>
      </c>
      <c r="M13" s="6" t="n">
        <v>0</v>
      </c>
    </row>
    <row r="14" customFormat="false" ht="15" hidden="false" customHeight="false" outlineLevel="0" collapsed="false">
      <c r="A14" s="3" t="s">
        <v>44</v>
      </c>
      <c r="B14" s="3" t="n">
        <v>36</v>
      </c>
      <c r="C14" s="3" t="s">
        <v>15</v>
      </c>
      <c r="D14" s="4" t="s">
        <v>45</v>
      </c>
      <c r="E14" s="4" t="s">
        <v>46</v>
      </c>
      <c r="F14" s="5" t="n">
        <v>84070</v>
      </c>
      <c r="G14" s="3" t="n">
        <v>8</v>
      </c>
      <c r="H14" s="3" t="n">
        <v>4</v>
      </c>
      <c r="I14" s="3" t="n">
        <v>2</v>
      </c>
      <c r="J14" s="3" t="n">
        <v>8.5</v>
      </c>
      <c r="K14" s="3" t="s">
        <v>23</v>
      </c>
      <c r="L14" s="3" t="s">
        <v>18</v>
      </c>
      <c r="M14" s="6" t="n">
        <v>0</v>
      </c>
    </row>
    <row r="15" customFormat="false" ht="15" hidden="false" customHeight="false" outlineLevel="0" collapsed="false">
      <c r="A15" s="3" t="s">
        <v>47</v>
      </c>
      <c r="B15" s="3" t="n">
        <v>44</v>
      </c>
      <c r="C15" s="3" t="s">
        <v>20</v>
      </c>
      <c r="D15" s="4" t="s">
        <v>28</v>
      </c>
      <c r="E15" s="4" t="s">
        <v>48</v>
      </c>
      <c r="F15" s="5" t="n">
        <v>60955</v>
      </c>
      <c r="G15" s="3" t="n">
        <v>14</v>
      </c>
      <c r="H15" s="3" t="n">
        <v>3</v>
      </c>
      <c r="I15" s="3" t="n">
        <v>1</v>
      </c>
      <c r="J15" s="3" t="n">
        <v>3.4</v>
      </c>
      <c r="K15" s="3" t="s">
        <v>23</v>
      </c>
      <c r="L15" s="3" t="s">
        <v>23</v>
      </c>
      <c r="M15" s="6" t="n">
        <v>1</v>
      </c>
    </row>
    <row r="16" customFormat="false" ht="15" hidden="false" customHeight="false" outlineLevel="0" collapsed="false">
      <c r="A16" s="3" t="s">
        <v>49</v>
      </c>
      <c r="B16" s="3" t="n">
        <v>25</v>
      </c>
      <c r="C16" s="3" t="s">
        <v>15</v>
      </c>
      <c r="D16" s="4" t="s">
        <v>25</v>
      </c>
      <c r="E16" s="4" t="s">
        <v>39</v>
      </c>
      <c r="F16" s="5" t="n">
        <v>42351</v>
      </c>
      <c r="G16" s="3" t="n">
        <v>3</v>
      </c>
      <c r="H16" s="3" t="n">
        <v>3</v>
      </c>
      <c r="I16" s="3" t="n">
        <v>1</v>
      </c>
      <c r="J16" s="3" t="n">
        <v>9</v>
      </c>
      <c r="K16" s="3" t="s">
        <v>18</v>
      </c>
      <c r="L16" s="3" t="s">
        <v>23</v>
      </c>
      <c r="M16" s="6" t="n">
        <v>1</v>
      </c>
    </row>
    <row r="17" customFormat="false" ht="15" hidden="false" customHeight="false" outlineLevel="0" collapsed="false">
      <c r="A17" s="3" t="s">
        <v>50</v>
      </c>
      <c r="B17" s="3" t="n">
        <v>54</v>
      </c>
      <c r="C17" s="3" t="s">
        <v>15</v>
      </c>
      <c r="D17" s="4" t="s">
        <v>45</v>
      </c>
      <c r="E17" s="4" t="s">
        <v>46</v>
      </c>
      <c r="F17" s="5" t="n">
        <v>83702</v>
      </c>
      <c r="G17" s="3" t="n">
        <v>15</v>
      </c>
      <c r="H17" s="3" t="n">
        <v>3</v>
      </c>
      <c r="I17" s="3" t="n">
        <v>4</v>
      </c>
      <c r="J17" s="3" t="n">
        <v>7.8</v>
      </c>
      <c r="K17" s="3" t="s">
        <v>23</v>
      </c>
      <c r="L17" s="3" t="s">
        <v>18</v>
      </c>
      <c r="M17" s="6" t="n">
        <v>0</v>
      </c>
    </row>
    <row r="18" customFormat="false" ht="15" hidden="false" customHeight="false" outlineLevel="0" collapsed="false">
      <c r="A18" s="3" t="s">
        <v>51</v>
      </c>
      <c r="B18" s="3" t="n">
        <v>30</v>
      </c>
      <c r="C18" s="3" t="s">
        <v>15</v>
      </c>
      <c r="D18" s="4" t="s">
        <v>45</v>
      </c>
      <c r="E18" s="4" t="s">
        <v>52</v>
      </c>
      <c r="F18" s="5" t="n">
        <v>71383</v>
      </c>
      <c r="G18" s="3" t="n">
        <v>5</v>
      </c>
      <c r="H18" s="3" t="n">
        <v>5</v>
      </c>
      <c r="I18" s="3" t="n">
        <v>3</v>
      </c>
      <c r="J18" s="3" t="n">
        <v>6.8</v>
      </c>
      <c r="K18" s="3" t="s">
        <v>23</v>
      </c>
      <c r="L18" s="3" t="s">
        <v>18</v>
      </c>
      <c r="M18" s="6" t="n">
        <v>0</v>
      </c>
    </row>
    <row r="19" customFormat="false" ht="15" hidden="false" customHeight="false" outlineLevel="0" collapsed="false">
      <c r="A19" s="3" t="s">
        <v>53</v>
      </c>
      <c r="B19" s="3" t="n">
        <v>55</v>
      </c>
      <c r="C19" s="3" t="s">
        <v>15</v>
      </c>
      <c r="D19" s="4" t="s">
        <v>25</v>
      </c>
      <c r="E19" s="4" t="s">
        <v>54</v>
      </c>
      <c r="F19" s="5" t="n">
        <v>57239</v>
      </c>
      <c r="G19" s="3" t="n">
        <v>20</v>
      </c>
      <c r="H19" s="3" t="n">
        <v>5</v>
      </c>
      <c r="I19" s="3" t="n">
        <v>1</v>
      </c>
      <c r="J19" s="3" t="n">
        <v>7.4</v>
      </c>
      <c r="K19" s="3" t="s">
        <v>18</v>
      </c>
      <c r="L19" s="3" t="s">
        <v>23</v>
      </c>
      <c r="M19" s="6" t="n">
        <v>1</v>
      </c>
    </row>
    <row r="20" customFormat="false" ht="15" hidden="false" customHeight="false" outlineLevel="0" collapsed="false">
      <c r="A20" s="3" t="s">
        <v>55</v>
      </c>
      <c r="B20" s="3" t="n">
        <v>50</v>
      </c>
      <c r="C20" s="3" t="s">
        <v>20</v>
      </c>
      <c r="D20" s="4" t="s">
        <v>31</v>
      </c>
      <c r="E20" s="4" t="s">
        <v>56</v>
      </c>
      <c r="F20" s="5" t="n">
        <v>50692</v>
      </c>
      <c r="G20" s="3" t="n">
        <v>9</v>
      </c>
      <c r="H20" s="3" t="n">
        <v>4</v>
      </c>
      <c r="I20" s="3" t="n">
        <v>1</v>
      </c>
      <c r="J20" s="3" t="n">
        <v>8.5</v>
      </c>
      <c r="K20" s="3" t="s">
        <v>23</v>
      </c>
      <c r="L20" s="3" t="s">
        <v>18</v>
      </c>
      <c r="M20" s="6" t="n">
        <v>0</v>
      </c>
    </row>
    <row r="21" customFormat="false" ht="15" hidden="false" customHeight="false" outlineLevel="0" collapsed="false">
      <c r="A21" s="3" t="s">
        <v>57</v>
      </c>
      <c r="B21" s="3" t="n">
        <v>48</v>
      </c>
      <c r="C21" s="3" t="s">
        <v>20</v>
      </c>
      <c r="D21" s="4" t="s">
        <v>21</v>
      </c>
      <c r="E21" s="4" t="s">
        <v>58</v>
      </c>
      <c r="F21" s="5" t="n">
        <v>128532</v>
      </c>
      <c r="G21" s="3" t="n">
        <v>24</v>
      </c>
      <c r="H21" s="3" t="n">
        <v>1</v>
      </c>
      <c r="I21" s="3" t="n">
        <v>1</v>
      </c>
      <c r="J21" s="3" t="n">
        <v>7</v>
      </c>
      <c r="K21" s="3" t="s">
        <v>18</v>
      </c>
      <c r="L21" s="3" t="s">
        <v>18</v>
      </c>
      <c r="M21" s="6" t="n">
        <v>0</v>
      </c>
    </row>
    <row r="22" customFormat="false" ht="15" hidden="false" customHeight="false" outlineLevel="0" collapsed="false">
      <c r="A22" s="3" t="s">
        <v>59</v>
      </c>
      <c r="B22" s="3" t="n">
        <v>40</v>
      </c>
      <c r="C22" s="3" t="s">
        <v>20</v>
      </c>
      <c r="D22" s="4" t="s">
        <v>16</v>
      </c>
      <c r="E22" s="4" t="s">
        <v>34</v>
      </c>
      <c r="F22" s="5" t="n">
        <v>90471</v>
      </c>
      <c r="G22" s="3" t="n">
        <v>7</v>
      </c>
      <c r="H22" s="3" t="n">
        <v>5</v>
      </c>
      <c r="I22" s="3" t="n">
        <v>4</v>
      </c>
      <c r="J22" s="3" t="n">
        <v>8.1</v>
      </c>
      <c r="K22" s="3" t="s">
        <v>23</v>
      </c>
      <c r="L22" s="3" t="s">
        <v>23</v>
      </c>
      <c r="M22" s="6" t="n">
        <v>1</v>
      </c>
    </row>
    <row r="23" customFormat="false" ht="15" hidden="false" customHeight="false" outlineLevel="0" collapsed="false">
      <c r="A23" s="3" t="s">
        <v>60</v>
      </c>
      <c r="B23" s="3" t="n">
        <v>52</v>
      </c>
      <c r="C23" s="3" t="s">
        <v>20</v>
      </c>
      <c r="D23" s="4" t="s">
        <v>61</v>
      </c>
      <c r="E23" s="4" t="s">
        <v>62</v>
      </c>
      <c r="F23" s="5" t="n">
        <v>54299</v>
      </c>
      <c r="G23" s="3" t="n">
        <v>1</v>
      </c>
      <c r="H23" s="3" t="n">
        <v>3</v>
      </c>
      <c r="I23" s="3" t="n">
        <v>4</v>
      </c>
      <c r="J23" s="3" t="n">
        <v>7.1</v>
      </c>
      <c r="K23" s="3" t="s">
        <v>18</v>
      </c>
      <c r="L23" s="3" t="s">
        <v>18</v>
      </c>
      <c r="M23" s="6" t="n">
        <v>0</v>
      </c>
    </row>
    <row r="24" customFormat="false" ht="15" hidden="false" customHeight="false" outlineLevel="0" collapsed="false">
      <c r="A24" s="3" t="s">
        <v>63</v>
      </c>
      <c r="B24" s="3" t="n">
        <v>42</v>
      </c>
      <c r="C24" s="3" t="s">
        <v>15</v>
      </c>
      <c r="D24" s="4" t="s">
        <v>16</v>
      </c>
      <c r="E24" s="4" t="s">
        <v>64</v>
      </c>
      <c r="F24" s="5" t="n">
        <v>99964</v>
      </c>
      <c r="G24" s="3" t="n">
        <v>15</v>
      </c>
      <c r="H24" s="3" t="n">
        <v>5</v>
      </c>
      <c r="I24" s="3" t="n">
        <v>3</v>
      </c>
      <c r="J24" s="3" t="n">
        <v>7.9</v>
      </c>
      <c r="K24" s="3" t="s">
        <v>23</v>
      </c>
      <c r="L24" s="3" t="s">
        <v>18</v>
      </c>
      <c r="M24" s="6" t="n">
        <v>0</v>
      </c>
    </row>
    <row r="25" customFormat="false" ht="15" hidden="false" customHeight="false" outlineLevel="0" collapsed="false">
      <c r="A25" s="3" t="s">
        <v>65</v>
      </c>
      <c r="B25" s="3" t="n">
        <v>28</v>
      </c>
      <c r="C25" s="3" t="s">
        <v>15</v>
      </c>
      <c r="D25" s="4" t="s">
        <v>45</v>
      </c>
      <c r="E25" s="4" t="s">
        <v>66</v>
      </c>
      <c r="F25" s="5" t="n">
        <v>60653</v>
      </c>
      <c r="G25" s="3" t="n">
        <v>2</v>
      </c>
      <c r="H25" s="3" t="n">
        <v>4</v>
      </c>
      <c r="I25" s="3" t="n">
        <v>4</v>
      </c>
      <c r="J25" s="3" t="n">
        <v>6.7</v>
      </c>
      <c r="K25" s="3" t="s">
        <v>23</v>
      </c>
      <c r="L25" s="3" t="s">
        <v>18</v>
      </c>
      <c r="M25" s="6" t="n">
        <v>0</v>
      </c>
    </row>
    <row r="26" customFormat="false" ht="15" hidden="false" customHeight="false" outlineLevel="0" collapsed="false">
      <c r="A26" s="3" t="s">
        <v>67</v>
      </c>
      <c r="B26" s="3" t="n">
        <v>55</v>
      </c>
      <c r="C26" s="3" t="s">
        <v>15</v>
      </c>
      <c r="D26" s="4" t="s">
        <v>16</v>
      </c>
      <c r="E26" s="4" t="s">
        <v>68</v>
      </c>
      <c r="F26" s="5" t="n">
        <v>90911</v>
      </c>
      <c r="G26" s="3" t="n">
        <v>8</v>
      </c>
      <c r="H26" s="3" t="n">
        <v>1</v>
      </c>
      <c r="I26" s="3" t="n">
        <v>3</v>
      </c>
      <c r="J26" s="3" t="n">
        <v>3</v>
      </c>
      <c r="K26" s="3" t="s">
        <v>18</v>
      </c>
      <c r="L26" s="3" t="s">
        <v>18</v>
      </c>
      <c r="M26" s="6" t="n">
        <v>0</v>
      </c>
    </row>
    <row r="27" customFormat="false" ht="15" hidden="false" customHeight="false" outlineLevel="0" collapsed="false">
      <c r="A27" s="3" t="s">
        <v>69</v>
      </c>
      <c r="B27" s="3" t="n">
        <v>37</v>
      </c>
      <c r="C27" s="3" t="s">
        <v>15</v>
      </c>
      <c r="D27" s="4" t="s">
        <v>25</v>
      </c>
      <c r="E27" s="4" t="s">
        <v>54</v>
      </c>
      <c r="F27" s="5" t="n">
        <v>47527</v>
      </c>
      <c r="G27" s="3" t="n">
        <v>8</v>
      </c>
      <c r="H27" s="3" t="n">
        <v>3</v>
      </c>
      <c r="I27" s="3" t="n">
        <v>4</v>
      </c>
      <c r="J27" s="3" t="n">
        <v>6.8</v>
      </c>
      <c r="K27" s="3" t="s">
        <v>18</v>
      </c>
      <c r="L27" s="3" t="s">
        <v>18</v>
      </c>
      <c r="M27" s="6" t="n">
        <v>0</v>
      </c>
    </row>
    <row r="28" customFormat="false" ht="15" hidden="false" customHeight="false" outlineLevel="0" collapsed="false">
      <c r="A28" s="3" t="s">
        <v>70</v>
      </c>
      <c r="B28" s="3" t="n">
        <v>47</v>
      </c>
      <c r="C28" s="3" t="s">
        <v>20</v>
      </c>
      <c r="D28" s="4" t="s">
        <v>16</v>
      </c>
      <c r="E28" s="4" t="s">
        <v>64</v>
      </c>
      <c r="F28" s="5" t="n">
        <v>125197</v>
      </c>
      <c r="G28" s="3" t="n">
        <v>17</v>
      </c>
      <c r="H28" s="3" t="n">
        <v>2</v>
      </c>
      <c r="I28" s="3" t="n">
        <v>1</v>
      </c>
      <c r="J28" s="3" t="n">
        <v>9.8</v>
      </c>
      <c r="K28" s="3" t="s">
        <v>18</v>
      </c>
      <c r="L28" s="3" t="s">
        <v>18</v>
      </c>
      <c r="M28" s="6" t="n">
        <v>0</v>
      </c>
    </row>
    <row r="29" customFormat="false" ht="15" hidden="false" customHeight="false" outlineLevel="0" collapsed="false">
      <c r="A29" s="3" t="s">
        <v>71</v>
      </c>
      <c r="B29" s="3" t="n">
        <v>39</v>
      </c>
      <c r="C29" s="3" t="s">
        <v>20</v>
      </c>
      <c r="D29" s="4" t="s">
        <v>28</v>
      </c>
      <c r="E29" s="4" t="s">
        <v>48</v>
      </c>
      <c r="F29" s="5" t="n">
        <v>46486</v>
      </c>
      <c r="G29" s="3" t="n">
        <v>3</v>
      </c>
      <c r="H29" s="3" t="n">
        <v>5</v>
      </c>
      <c r="I29" s="3" t="n">
        <v>2</v>
      </c>
      <c r="J29" s="3" t="n">
        <v>5</v>
      </c>
      <c r="K29" s="3" t="s">
        <v>18</v>
      </c>
      <c r="L29" s="3" t="s">
        <v>18</v>
      </c>
      <c r="M29" s="6" t="n">
        <v>0</v>
      </c>
    </row>
    <row r="30" customFormat="false" ht="15" hidden="false" customHeight="false" outlineLevel="0" collapsed="false">
      <c r="A30" s="3" t="s">
        <v>72</v>
      </c>
      <c r="B30" s="3" t="n">
        <v>23</v>
      </c>
      <c r="C30" s="3" t="s">
        <v>20</v>
      </c>
      <c r="D30" s="4" t="s">
        <v>31</v>
      </c>
      <c r="E30" s="4" t="s">
        <v>56</v>
      </c>
      <c r="F30" s="5" t="n">
        <v>43731</v>
      </c>
      <c r="G30" s="3" t="n">
        <v>1</v>
      </c>
      <c r="H30" s="3" t="n">
        <v>2</v>
      </c>
      <c r="I30" s="3" t="n">
        <v>4</v>
      </c>
      <c r="J30" s="3" t="n">
        <v>5.2</v>
      </c>
      <c r="K30" s="3" t="s">
        <v>23</v>
      </c>
      <c r="L30" s="3" t="s">
        <v>18</v>
      </c>
      <c r="M30" s="6" t="n">
        <v>0</v>
      </c>
    </row>
    <row r="31" customFormat="false" ht="15" hidden="false" customHeight="false" outlineLevel="0" collapsed="false">
      <c r="A31" s="3" t="s">
        <v>73</v>
      </c>
      <c r="B31" s="3" t="n">
        <v>48</v>
      </c>
      <c r="C31" s="3" t="s">
        <v>15</v>
      </c>
      <c r="D31" s="4" t="s">
        <v>41</v>
      </c>
      <c r="E31" s="4" t="s">
        <v>74</v>
      </c>
      <c r="F31" s="5" t="n">
        <v>65608</v>
      </c>
      <c r="G31" s="3" t="n">
        <v>21</v>
      </c>
      <c r="H31" s="3" t="n">
        <v>5</v>
      </c>
      <c r="I31" s="3" t="n">
        <v>3</v>
      </c>
      <c r="J31" s="3" t="n">
        <v>4.9</v>
      </c>
      <c r="K31" s="3" t="s">
        <v>18</v>
      </c>
      <c r="L31" s="3" t="s">
        <v>23</v>
      </c>
      <c r="M31" s="6" t="n">
        <v>1</v>
      </c>
    </row>
    <row r="32" customFormat="false" ht="15" hidden="false" customHeight="false" outlineLevel="0" collapsed="false">
      <c r="A32" s="3" t="s">
        <v>75</v>
      </c>
      <c r="B32" s="3" t="n">
        <v>41</v>
      </c>
      <c r="C32" s="3" t="s">
        <v>15</v>
      </c>
      <c r="D32" s="4" t="s">
        <v>21</v>
      </c>
      <c r="E32" s="4" t="s">
        <v>58</v>
      </c>
      <c r="F32" s="5" t="n">
        <v>111489</v>
      </c>
      <c r="G32" s="3" t="n">
        <v>9</v>
      </c>
      <c r="H32" s="3" t="n">
        <v>5</v>
      </c>
      <c r="I32" s="3" t="n">
        <v>3</v>
      </c>
      <c r="J32" s="3" t="n">
        <v>6.7</v>
      </c>
      <c r="K32" s="3" t="s">
        <v>18</v>
      </c>
      <c r="L32" s="3" t="s">
        <v>18</v>
      </c>
      <c r="M32" s="6" t="n">
        <v>0</v>
      </c>
    </row>
    <row r="33" customFormat="false" ht="15" hidden="false" customHeight="false" outlineLevel="0" collapsed="false">
      <c r="A33" s="3" t="s">
        <v>76</v>
      </c>
      <c r="B33" s="3" t="n">
        <v>43</v>
      </c>
      <c r="C33" s="3" t="s">
        <v>20</v>
      </c>
      <c r="D33" s="4" t="s">
        <v>31</v>
      </c>
      <c r="E33" s="4" t="s">
        <v>77</v>
      </c>
      <c r="F33" s="5" t="n">
        <v>51715</v>
      </c>
      <c r="G33" s="3" t="n">
        <v>8</v>
      </c>
      <c r="H33" s="3" t="n">
        <v>3</v>
      </c>
      <c r="I33" s="3" t="n">
        <v>3</v>
      </c>
      <c r="J33" s="3" t="n">
        <v>9.8</v>
      </c>
      <c r="K33" s="3" t="s">
        <v>23</v>
      </c>
      <c r="L33" s="3" t="s">
        <v>18</v>
      </c>
      <c r="M33" s="6" t="n">
        <v>0</v>
      </c>
    </row>
    <row r="34" customFormat="false" ht="15" hidden="false" customHeight="false" outlineLevel="0" collapsed="false">
      <c r="A34" s="3" t="s">
        <v>78</v>
      </c>
      <c r="B34" s="3" t="n">
        <v>30</v>
      </c>
      <c r="C34" s="3" t="s">
        <v>20</v>
      </c>
      <c r="D34" s="4" t="s">
        <v>16</v>
      </c>
      <c r="E34" s="4" t="s">
        <v>17</v>
      </c>
      <c r="F34" s="5" t="n">
        <v>78889</v>
      </c>
      <c r="G34" s="3" t="n">
        <v>5</v>
      </c>
      <c r="H34" s="3" t="n">
        <v>5</v>
      </c>
      <c r="I34" s="3" t="n">
        <v>3</v>
      </c>
      <c r="J34" s="3" t="n">
        <v>5.3</v>
      </c>
      <c r="K34" s="3" t="s">
        <v>18</v>
      </c>
      <c r="L34" s="3" t="s">
        <v>18</v>
      </c>
      <c r="M34" s="6" t="n">
        <v>0</v>
      </c>
    </row>
    <row r="35" customFormat="false" ht="15" hidden="false" customHeight="false" outlineLevel="0" collapsed="false">
      <c r="A35" s="3" t="s">
        <v>79</v>
      </c>
      <c r="B35" s="3" t="n">
        <v>47</v>
      </c>
      <c r="C35" s="3" t="s">
        <v>20</v>
      </c>
      <c r="D35" s="4" t="s">
        <v>41</v>
      </c>
      <c r="E35" s="4" t="s">
        <v>74</v>
      </c>
      <c r="F35" s="5" t="n">
        <v>55191</v>
      </c>
      <c r="G35" s="3" t="n">
        <v>20</v>
      </c>
      <c r="H35" s="3" t="n">
        <v>5</v>
      </c>
      <c r="I35" s="3" t="n">
        <v>3</v>
      </c>
      <c r="J35" s="3" t="n">
        <v>3.5</v>
      </c>
      <c r="K35" s="3" t="s">
        <v>18</v>
      </c>
      <c r="L35" s="3" t="s">
        <v>23</v>
      </c>
      <c r="M35" s="6" t="n">
        <v>1</v>
      </c>
    </row>
    <row r="36" customFormat="false" ht="15" hidden="false" customHeight="false" outlineLevel="0" collapsed="false">
      <c r="A36" s="3" t="s">
        <v>80</v>
      </c>
      <c r="B36" s="3" t="n">
        <v>40</v>
      </c>
      <c r="C36" s="3" t="s">
        <v>20</v>
      </c>
      <c r="D36" s="4" t="s">
        <v>41</v>
      </c>
      <c r="E36" s="4" t="s">
        <v>42</v>
      </c>
      <c r="F36" s="5" t="n">
        <v>54226</v>
      </c>
      <c r="G36" s="3" t="n">
        <v>15</v>
      </c>
      <c r="H36" s="3" t="n">
        <v>5</v>
      </c>
      <c r="I36" s="3" t="n">
        <v>1</v>
      </c>
      <c r="J36" s="3" t="n">
        <v>7.3</v>
      </c>
      <c r="K36" s="3" t="s">
        <v>23</v>
      </c>
      <c r="L36" s="3" t="s">
        <v>18</v>
      </c>
      <c r="M36" s="6" t="n">
        <v>0</v>
      </c>
    </row>
    <row r="37" customFormat="false" ht="15" hidden="false" customHeight="false" outlineLevel="0" collapsed="false">
      <c r="A37" s="3" t="s">
        <v>81</v>
      </c>
      <c r="B37" s="3" t="n">
        <v>38</v>
      </c>
      <c r="C37" s="3" t="s">
        <v>15</v>
      </c>
      <c r="D37" s="4" t="s">
        <v>16</v>
      </c>
      <c r="E37" s="4" t="s">
        <v>64</v>
      </c>
      <c r="F37" s="5" t="n">
        <v>90024</v>
      </c>
      <c r="G37" s="3" t="n">
        <v>7</v>
      </c>
      <c r="H37" s="3" t="n">
        <v>3</v>
      </c>
      <c r="I37" s="3" t="n">
        <v>2</v>
      </c>
      <c r="J37" s="3" t="n">
        <v>7</v>
      </c>
      <c r="K37" s="3" t="s">
        <v>18</v>
      </c>
      <c r="L37" s="3" t="s">
        <v>18</v>
      </c>
      <c r="M37" s="6" t="n">
        <v>0</v>
      </c>
    </row>
    <row r="38" customFormat="false" ht="15" hidden="false" customHeight="false" outlineLevel="0" collapsed="false">
      <c r="A38" s="3" t="s">
        <v>82</v>
      </c>
      <c r="B38" s="3" t="n">
        <v>47</v>
      </c>
      <c r="C38" s="3" t="s">
        <v>15</v>
      </c>
      <c r="D38" s="4" t="s">
        <v>28</v>
      </c>
      <c r="E38" s="4" t="s">
        <v>83</v>
      </c>
      <c r="F38" s="5" t="n">
        <v>54185</v>
      </c>
      <c r="G38" s="3" t="n">
        <v>12</v>
      </c>
      <c r="H38" s="3" t="n">
        <v>3</v>
      </c>
      <c r="I38" s="3" t="n">
        <v>2</v>
      </c>
      <c r="J38" s="3" t="n">
        <v>4.7</v>
      </c>
      <c r="K38" s="3" t="s">
        <v>18</v>
      </c>
      <c r="L38" s="3" t="s">
        <v>18</v>
      </c>
      <c r="M38" s="6" t="n">
        <v>0</v>
      </c>
    </row>
    <row r="39" customFormat="false" ht="15" hidden="false" customHeight="false" outlineLevel="0" collapsed="false">
      <c r="A39" s="3" t="s">
        <v>84</v>
      </c>
      <c r="B39" s="3" t="n">
        <v>43</v>
      </c>
      <c r="C39" s="3" t="s">
        <v>15</v>
      </c>
      <c r="D39" s="4" t="s">
        <v>61</v>
      </c>
      <c r="E39" s="4" t="s">
        <v>85</v>
      </c>
      <c r="F39" s="5" t="n">
        <v>56354</v>
      </c>
      <c r="G39" s="3" t="n">
        <v>6</v>
      </c>
      <c r="H39" s="3" t="n">
        <v>4</v>
      </c>
      <c r="I39" s="3" t="n">
        <v>1</v>
      </c>
      <c r="J39" s="3" t="n">
        <v>4.4</v>
      </c>
      <c r="K39" s="3" t="s">
        <v>18</v>
      </c>
      <c r="L39" s="3" t="s">
        <v>18</v>
      </c>
      <c r="M39" s="6" t="n">
        <v>0</v>
      </c>
    </row>
    <row r="40" customFormat="false" ht="15" hidden="false" customHeight="false" outlineLevel="0" collapsed="false">
      <c r="A40" s="3" t="s">
        <v>86</v>
      </c>
      <c r="B40" s="3" t="n">
        <v>46</v>
      </c>
      <c r="C40" s="3" t="s">
        <v>20</v>
      </c>
      <c r="D40" s="4" t="s">
        <v>31</v>
      </c>
      <c r="E40" s="4" t="s">
        <v>87</v>
      </c>
      <c r="F40" s="5" t="n">
        <v>57744</v>
      </c>
      <c r="G40" s="3" t="n">
        <v>11</v>
      </c>
      <c r="H40" s="3" t="n">
        <v>4</v>
      </c>
      <c r="I40" s="3" t="n">
        <v>3</v>
      </c>
      <c r="J40" s="3" t="n">
        <v>9.7</v>
      </c>
      <c r="K40" s="3" t="s">
        <v>18</v>
      </c>
      <c r="L40" s="3" t="s">
        <v>23</v>
      </c>
      <c r="M40" s="6" t="n">
        <v>1</v>
      </c>
    </row>
    <row r="41" customFormat="false" ht="15" hidden="false" customHeight="false" outlineLevel="0" collapsed="false">
      <c r="A41" s="3" t="s">
        <v>88</v>
      </c>
      <c r="B41" s="3" t="n">
        <v>53</v>
      </c>
      <c r="C41" s="3" t="s">
        <v>20</v>
      </c>
      <c r="D41" s="4" t="s">
        <v>61</v>
      </c>
      <c r="E41" s="4" t="s">
        <v>89</v>
      </c>
      <c r="F41" s="5" t="n">
        <v>48097</v>
      </c>
      <c r="G41" s="3" t="n">
        <v>2</v>
      </c>
      <c r="H41" s="3" t="n">
        <v>4</v>
      </c>
      <c r="I41" s="3" t="n">
        <v>4</v>
      </c>
      <c r="J41" s="3" t="n">
        <v>7.8</v>
      </c>
      <c r="K41" s="3" t="s">
        <v>23</v>
      </c>
      <c r="L41" s="3" t="s">
        <v>23</v>
      </c>
      <c r="M41" s="6" t="n">
        <v>1</v>
      </c>
    </row>
    <row r="42" customFormat="false" ht="15" hidden="false" customHeight="false" outlineLevel="0" collapsed="false">
      <c r="A42" s="3" t="s">
        <v>90</v>
      </c>
      <c r="B42" s="3" t="n">
        <v>41</v>
      </c>
      <c r="C42" s="3" t="s">
        <v>20</v>
      </c>
      <c r="D42" s="4" t="s">
        <v>21</v>
      </c>
      <c r="E42" s="4" t="s">
        <v>58</v>
      </c>
      <c r="F42" s="5" t="n">
        <v>82038</v>
      </c>
      <c r="G42" s="3" t="n">
        <v>5</v>
      </c>
      <c r="H42" s="3" t="n">
        <v>1</v>
      </c>
      <c r="I42" s="3" t="n">
        <v>2</v>
      </c>
      <c r="J42" s="3" t="n">
        <v>7.2</v>
      </c>
      <c r="K42" s="3" t="s">
        <v>23</v>
      </c>
      <c r="L42" s="3" t="s">
        <v>23</v>
      </c>
      <c r="M42" s="6" t="n">
        <v>1</v>
      </c>
    </row>
    <row r="43" customFormat="false" ht="15" hidden="false" customHeight="false" outlineLevel="0" collapsed="false">
      <c r="A43" s="3" t="s">
        <v>91</v>
      </c>
      <c r="B43" s="3" t="n">
        <v>29</v>
      </c>
      <c r="C43" s="3" t="s">
        <v>15</v>
      </c>
      <c r="D43" s="4" t="s">
        <v>28</v>
      </c>
      <c r="E43" s="4" t="s">
        <v>83</v>
      </c>
      <c r="F43" s="5" t="n">
        <v>49567</v>
      </c>
      <c r="G43" s="3" t="n">
        <v>7</v>
      </c>
      <c r="H43" s="3" t="n">
        <v>1</v>
      </c>
      <c r="I43" s="3" t="n">
        <v>1</v>
      </c>
      <c r="J43" s="3" t="n">
        <v>6.1</v>
      </c>
      <c r="K43" s="3" t="s">
        <v>23</v>
      </c>
      <c r="L43" s="3" t="s">
        <v>18</v>
      </c>
      <c r="M43" s="6" t="n">
        <v>0</v>
      </c>
    </row>
    <row r="44" customFormat="false" ht="15" hidden="false" customHeight="false" outlineLevel="0" collapsed="false">
      <c r="A44" s="3" t="s">
        <v>92</v>
      </c>
      <c r="B44" s="3" t="n">
        <v>35</v>
      </c>
      <c r="C44" s="3" t="s">
        <v>20</v>
      </c>
      <c r="D44" s="4" t="s">
        <v>25</v>
      </c>
      <c r="E44" s="4" t="s">
        <v>39</v>
      </c>
      <c r="F44" s="5" t="n">
        <v>53548</v>
      </c>
      <c r="G44" s="3" t="n">
        <v>10</v>
      </c>
      <c r="H44" s="3" t="n">
        <v>3</v>
      </c>
      <c r="I44" s="3" t="n">
        <v>4</v>
      </c>
      <c r="J44" s="3" t="n">
        <v>8.4</v>
      </c>
      <c r="K44" s="3" t="s">
        <v>23</v>
      </c>
      <c r="L44" s="3" t="s">
        <v>18</v>
      </c>
      <c r="M44" s="6" t="n">
        <v>0</v>
      </c>
    </row>
    <row r="45" customFormat="false" ht="15" hidden="false" customHeight="false" outlineLevel="0" collapsed="false">
      <c r="A45" s="3" t="s">
        <v>93</v>
      </c>
      <c r="B45" s="3" t="n">
        <v>50</v>
      </c>
      <c r="C45" s="3" t="s">
        <v>15</v>
      </c>
      <c r="D45" s="4" t="s">
        <v>16</v>
      </c>
      <c r="E45" s="4" t="s">
        <v>17</v>
      </c>
      <c r="F45" s="5" t="n">
        <v>80180</v>
      </c>
      <c r="G45" s="3" t="n">
        <v>3</v>
      </c>
      <c r="H45" s="3" t="n">
        <v>4</v>
      </c>
      <c r="I45" s="3" t="n">
        <v>3</v>
      </c>
      <c r="J45" s="3" t="n">
        <v>8.8</v>
      </c>
      <c r="K45" s="3" t="s">
        <v>23</v>
      </c>
      <c r="L45" s="3" t="s">
        <v>18</v>
      </c>
      <c r="M45" s="6" t="n">
        <v>0</v>
      </c>
    </row>
    <row r="46" customFormat="false" ht="15" hidden="false" customHeight="false" outlineLevel="0" collapsed="false">
      <c r="A46" s="3" t="s">
        <v>94</v>
      </c>
      <c r="B46" s="3" t="n">
        <v>25</v>
      </c>
      <c r="C46" s="3" t="s">
        <v>15</v>
      </c>
      <c r="D46" s="4" t="s">
        <v>45</v>
      </c>
      <c r="E46" s="4" t="s">
        <v>66</v>
      </c>
      <c r="F46" s="5" t="n">
        <v>68274</v>
      </c>
      <c r="G46" s="3" t="n">
        <v>3</v>
      </c>
      <c r="H46" s="3" t="n">
        <v>2</v>
      </c>
      <c r="I46" s="3" t="n">
        <v>1</v>
      </c>
      <c r="J46" s="3" t="n">
        <v>8.9</v>
      </c>
      <c r="K46" s="3" t="s">
        <v>23</v>
      </c>
      <c r="L46" s="3" t="s">
        <v>18</v>
      </c>
      <c r="M46" s="6" t="n">
        <v>0</v>
      </c>
    </row>
    <row r="47" customFormat="false" ht="15" hidden="false" customHeight="false" outlineLevel="0" collapsed="false">
      <c r="A47" s="3" t="s">
        <v>95</v>
      </c>
      <c r="B47" s="3" t="n">
        <v>44</v>
      </c>
      <c r="C47" s="3" t="s">
        <v>20</v>
      </c>
      <c r="D47" s="4" t="s">
        <v>31</v>
      </c>
      <c r="E47" s="4" t="s">
        <v>77</v>
      </c>
      <c r="F47" s="5" t="n">
        <v>89174</v>
      </c>
      <c r="G47" s="3" t="n">
        <v>22</v>
      </c>
      <c r="H47" s="3" t="n">
        <v>4</v>
      </c>
      <c r="I47" s="3" t="n">
        <v>2</v>
      </c>
      <c r="J47" s="3" t="n">
        <v>5.1</v>
      </c>
      <c r="K47" s="3" t="s">
        <v>18</v>
      </c>
      <c r="L47" s="3" t="s">
        <v>23</v>
      </c>
      <c r="M47" s="6" t="n">
        <v>1</v>
      </c>
    </row>
    <row r="48" customFormat="false" ht="15" hidden="false" customHeight="false" outlineLevel="0" collapsed="false">
      <c r="A48" s="3" t="s">
        <v>96</v>
      </c>
      <c r="B48" s="3" t="n">
        <v>50</v>
      </c>
      <c r="C48" s="3" t="s">
        <v>15</v>
      </c>
      <c r="D48" s="4" t="s">
        <v>31</v>
      </c>
      <c r="E48" s="4" t="s">
        <v>87</v>
      </c>
      <c r="F48" s="5" t="n">
        <v>90063</v>
      </c>
      <c r="G48" s="3" t="n">
        <v>25</v>
      </c>
      <c r="H48" s="3" t="n">
        <v>1</v>
      </c>
      <c r="I48" s="3" t="n">
        <v>1</v>
      </c>
      <c r="J48" s="3" t="n">
        <v>8.4</v>
      </c>
      <c r="K48" s="3" t="s">
        <v>18</v>
      </c>
      <c r="L48" s="3" t="s">
        <v>18</v>
      </c>
      <c r="M48" s="6" t="n">
        <v>0</v>
      </c>
    </row>
    <row r="49" customFormat="false" ht="15" hidden="false" customHeight="false" outlineLevel="0" collapsed="false">
      <c r="A49" s="3" t="s">
        <v>97</v>
      </c>
      <c r="B49" s="3" t="n">
        <v>35</v>
      </c>
      <c r="C49" s="3" t="s">
        <v>20</v>
      </c>
      <c r="D49" s="4" t="s">
        <v>45</v>
      </c>
      <c r="E49" s="4" t="s">
        <v>46</v>
      </c>
      <c r="F49" s="5" t="n">
        <v>85188</v>
      </c>
      <c r="G49" s="3" t="n">
        <v>14</v>
      </c>
      <c r="H49" s="3" t="n">
        <v>3</v>
      </c>
      <c r="I49" s="3" t="n">
        <v>4</v>
      </c>
      <c r="J49" s="3" t="n">
        <v>3.7</v>
      </c>
      <c r="K49" s="3" t="s">
        <v>18</v>
      </c>
      <c r="L49" s="3" t="s">
        <v>18</v>
      </c>
      <c r="M49" s="6" t="n">
        <v>0</v>
      </c>
    </row>
    <row r="50" customFormat="false" ht="15" hidden="false" customHeight="false" outlineLevel="0" collapsed="false">
      <c r="A50" s="3" t="s">
        <v>98</v>
      </c>
      <c r="B50" s="3" t="n">
        <v>23</v>
      </c>
      <c r="C50" s="3" t="s">
        <v>20</v>
      </c>
      <c r="D50" s="4" t="s">
        <v>16</v>
      </c>
      <c r="E50" s="4" t="s">
        <v>64</v>
      </c>
      <c r="F50" s="5" t="n">
        <v>70076</v>
      </c>
      <c r="G50" s="3" t="n">
        <v>2</v>
      </c>
      <c r="H50" s="3" t="n">
        <v>1</v>
      </c>
      <c r="I50" s="3" t="n">
        <v>2</v>
      </c>
      <c r="J50" s="3" t="n">
        <v>8.9</v>
      </c>
      <c r="K50" s="3" t="s">
        <v>23</v>
      </c>
      <c r="L50" s="3" t="s">
        <v>18</v>
      </c>
      <c r="M50" s="6" t="n">
        <v>0</v>
      </c>
    </row>
    <row r="51" customFormat="false" ht="15" hidden="false" customHeight="false" outlineLevel="0" collapsed="false">
      <c r="A51" s="3" t="s">
        <v>99</v>
      </c>
      <c r="B51" s="3" t="n">
        <v>28</v>
      </c>
      <c r="C51" s="3" t="s">
        <v>20</v>
      </c>
      <c r="D51" s="4" t="s">
        <v>21</v>
      </c>
      <c r="E51" s="4" t="s">
        <v>22</v>
      </c>
      <c r="F51" s="5" t="n">
        <v>88000</v>
      </c>
      <c r="G51" s="3" t="n">
        <v>6</v>
      </c>
      <c r="H51" s="3" t="n">
        <v>4</v>
      </c>
      <c r="I51" s="3" t="n">
        <v>2</v>
      </c>
      <c r="J51" s="3" t="n">
        <v>9</v>
      </c>
      <c r="K51" s="3" t="s">
        <v>18</v>
      </c>
      <c r="L51" s="3" t="s">
        <v>18</v>
      </c>
      <c r="M51" s="6" t="n">
        <v>0</v>
      </c>
    </row>
    <row r="52" customFormat="false" ht="15" hidden="false" customHeight="false" outlineLevel="0" collapsed="false">
      <c r="A52" s="3" t="s">
        <v>100</v>
      </c>
      <c r="B52" s="3" t="n">
        <v>32</v>
      </c>
      <c r="C52" s="3" t="s">
        <v>20</v>
      </c>
      <c r="D52" s="4" t="s">
        <v>45</v>
      </c>
      <c r="E52" s="4" t="s">
        <v>46</v>
      </c>
      <c r="F52" s="5" t="n">
        <v>66967</v>
      </c>
      <c r="G52" s="3" t="n">
        <v>4</v>
      </c>
      <c r="H52" s="3" t="n">
        <v>3</v>
      </c>
      <c r="I52" s="3" t="n">
        <v>3</v>
      </c>
      <c r="J52" s="3" t="n">
        <v>5.3</v>
      </c>
      <c r="K52" s="3" t="s">
        <v>18</v>
      </c>
      <c r="L52" s="3" t="s">
        <v>18</v>
      </c>
      <c r="M52" s="6" t="n">
        <v>0</v>
      </c>
    </row>
    <row r="53" customFormat="false" ht="15" hidden="false" customHeight="false" outlineLevel="0" collapsed="false">
      <c r="A53" s="3" t="s">
        <v>101</v>
      </c>
      <c r="B53" s="3" t="n">
        <v>51</v>
      </c>
      <c r="C53" s="3" t="s">
        <v>15</v>
      </c>
      <c r="D53" s="4" t="s">
        <v>45</v>
      </c>
      <c r="E53" s="4" t="s">
        <v>66</v>
      </c>
      <c r="F53" s="5" t="n">
        <v>80954</v>
      </c>
      <c r="G53" s="3" t="n">
        <v>14</v>
      </c>
      <c r="H53" s="3" t="n">
        <v>5</v>
      </c>
      <c r="I53" s="3" t="n">
        <v>2</v>
      </c>
      <c r="J53" s="3" t="n">
        <v>5.4</v>
      </c>
      <c r="K53" s="3" t="s">
        <v>23</v>
      </c>
      <c r="L53" s="3" t="s">
        <v>18</v>
      </c>
      <c r="M53" s="6" t="n">
        <v>0</v>
      </c>
    </row>
    <row r="54" customFormat="false" ht="15" hidden="false" customHeight="false" outlineLevel="0" collapsed="false">
      <c r="A54" s="3" t="s">
        <v>102</v>
      </c>
      <c r="B54" s="3" t="n">
        <v>42</v>
      </c>
      <c r="C54" s="3" t="s">
        <v>15</v>
      </c>
      <c r="D54" s="4" t="s">
        <v>28</v>
      </c>
      <c r="E54" s="4" t="s">
        <v>48</v>
      </c>
      <c r="F54" s="5" t="n">
        <v>38773</v>
      </c>
      <c r="G54" s="3" t="n">
        <v>1</v>
      </c>
      <c r="H54" s="3" t="n">
        <v>1</v>
      </c>
      <c r="I54" s="3" t="n">
        <v>4</v>
      </c>
      <c r="J54" s="3" t="n">
        <v>3.8</v>
      </c>
      <c r="K54" s="3" t="s">
        <v>18</v>
      </c>
      <c r="L54" s="3" t="s">
        <v>18</v>
      </c>
      <c r="M54" s="6" t="n">
        <v>0</v>
      </c>
    </row>
    <row r="55" customFormat="false" ht="15" hidden="false" customHeight="false" outlineLevel="0" collapsed="false">
      <c r="A55" s="3" t="s">
        <v>103</v>
      </c>
      <c r="B55" s="3" t="n">
        <v>47</v>
      </c>
      <c r="C55" s="3" t="s">
        <v>15</v>
      </c>
      <c r="D55" s="4" t="s">
        <v>61</v>
      </c>
      <c r="E55" s="4" t="s">
        <v>89</v>
      </c>
      <c r="F55" s="5" t="n">
        <v>68011</v>
      </c>
      <c r="G55" s="3" t="n">
        <v>8</v>
      </c>
      <c r="H55" s="3" t="n">
        <v>4</v>
      </c>
      <c r="I55" s="3" t="n">
        <v>1</v>
      </c>
      <c r="J55" s="3" t="n">
        <v>6.6</v>
      </c>
      <c r="K55" s="3" t="s">
        <v>23</v>
      </c>
      <c r="L55" s="3" t="s">
        <v>18</v>
      </c>
      <c r="M55" s="6" t="n">
        <v>0</v>
      </c>
    </row>
    <row r="56" customFormat="false" ht="15" hidden="false" customHeight="false" outlineLevel="0" collapsed="false">
      <c r="A56" s="3" t="s">
        <v>104</v>
      </c>
      <c r="B56" s="3" t="n">
        <v>34</v>
      </c>
      <c r="C56" s="3" t="s">
        <v>15</v>
      </c>
      <c r="D56" s="4" t="s">
        <v>25</v>
      </c>
      <c r="E56" s="4" t="s">
        <v>54</v>
      </c>
      <c r="F56" s="5" t="n">
        <v>47595</v>
      </c>
      <c r="G56" s="3" t="n">
        <v>10</v>
      </c>
      <c r="H56" s="3" t="n">
        <v>4</v>
      </c>
      <c r="I56" s="3" t="n">
        <v>1</v>
      </c>
      <c r="J56" s="3" t="n">
        <v>7.9</v>
      </c>
      <c r="K56" s="3" t="s">
        <v>18</v>
      </c>
      <c r="L56" s="3" t="s">
        <v>18</v>
      </c>
      <c r="M56" s="6" t="n">
        <v>0</v>
      </c>
    </row>
    <row r="57" customFormat="false" ht="15" hidden="false" customHeight="false" outlineLevel="0" collapsed="false">
      <c r="A57" s="3" t="s">
        <v>105</v>
      </c>
      <c r="B57" s="3" t="n">
        <v>22</v>
      </c>
      <c r="C57" s="3" t="s">
        <v>15</v>
      </c>
      <c r="D57" s="4" t="s">
        <v>25</v>
      </c>
      <c r="E57" s="4" t="s">
        <v>26</v>
      </c>
      <c r="F57" s="5" t="n">
        <v>33544</v>
      </c>
      <c r="G57" s="3" t="n">
        <v>1</v>
      </c>
      <c r="H57" s="3" t="n">
        <v>3</v>
      </c>
      <c r="I57" s="3" t="n">
        <v>2</v>
      </c>
      <c r="J57" s="3" t="n">
        <v>9.2</v>
      </c>
      <c r="K57" s="3" t="s">
        <v>18</v>
      </c>
      <c r="L57" s="3" t="s">
        <v>18</v>
      </c>
      <c r="M57" s="6" t="n">
        <v>0</v>
      </c>
    </row>
    <row r="58" customFormat="false" ht="15" hidden="false" customHeight="false" outlineLevel="0" collapsed="false">
      <c r="A58" s="3" t="s">
        <v>106</v>
      </c>
      <c r="B58" s="3" t="n">
        <v>51</v>
      </c>
      <c r="C58" s="3" t="s">
        <v>15</v>
      </c>
      <c r="D58" s="4" t="s">
        <v>21</v>
      </c>
      <c r="E58" s="4" t="s">
        <v>36</v>
      </c>
      <c r="F58" s="5" t="n">
        <v>108278</v>
      </c>
      <c r="G58" s="3" t="n">
        <v>9</v>
      </c>
      <c r="H58" s="3" t="n">
        <v>5</v>
      </c>
      <c r="I58" s="3" t="n">
        <v>2</v>
      </c>
      <c r="J58" s="3" t="n">
        <v>4.1</v>
      </c>
      <c r="K58" s="3" t="s">
        <v>18</v>
      </c>
      <c r="L58" s="3" t="s">
        <v>18</v>
      </c>
      <c r="M58" s="6" t="n">
        <v>0</v>
      </c>
    </row>
    <row r="59" customFormat="false" ht="15" hidden="false" customHeight="false" outlineLevel="0" collapsed="false">
      <c r="A59" s="3" t="s">
        <v>107</v>
      </c>
      <c r="B59" s="3" t="n">
        <v>51</v>
      </c>
      <c r="C59" s="3" t="s">
        <v>20</v>
      </c>
      <c r="D59" s="4" t="s">
        <v>45</v>
      </c>
      <c r="E59" s="4" t="s">
        <v>46</v>
      </c>
      <c r="F59" s="5" t="n">
        <v>57581</v>
      </c>
      <c r="G59" s="3" t="n">
        <v>1</v>
      </c>
      <c r="H59" s="3" t="n">
        <v>2</v>
      </c>
      <c r="I59" s="3" t="n">
        <v>2</v>
      </c>
      <c r="J59" s="3" t="n">
        <v>3.9</v>
      </c>
      <c r="K59" s="3" t="s">
        <v>18</v>
      </c>
      <c r="L59" s="3" t="s">
        <v>23</v>
      </c>
      <c r="M59" s="6" t="n">
        <v>1</v>
      </c>
    </row>
    <row r="60" customFormat="false" ht="15" hidden="false" customHeight="false" outlineLevel="0" collapsed="false">
      <c r="A60" s="3" t="s">
        <v>108</v>
      </c>
      <c r="B60" s="3" t="n">
        <v>34</v>
      </c>
      <c r="C60" s="3" t="s">
        <v>20</v>
      </c>
      <c r="D60" s="4" t="s">
        <v>16</v>
      </c>
      <c r="E60" s="4" t="s">
        <v>64</v>
      </c>
      <c r="F60" s="5" t="n">
        <v>98192</v>
      </c>
      <c r="G60" s="3" t="n">
        <v>9</v>
      </c>
      <c r="H60" s="3" t="n">
        <v>4</v>
      </c>
      <c r="I60" s="3" t="n">
        <v>1</v>
      </c>
      <c r="J60" s="3" t="n">
        <v>9.3</v>
      </c>
      <c r="K60" s="3" t="s">
        <v>23</v>
      </c>
      <c r="L60" s="3" t="s">
        <v>18</v>
      </c>
      <c r="M60" s="6" t="n">
        <v>0</v>
      </c>
    </row>
    <row r="61" customFormat="false" ht="15" hidden="false" customHeight="false" outlineLevel="0" collapsed="false">
      <c r="A61" s="3" t="s">
        <v>109</v>
      </c>
      <c r="B61" s="3" t="n">
        <v>45</v>
      </c>
      <c r="C61" s="3" t="s">
        <v>15</v>
      </c>
      <c r="D61" s="4" t="s">
        <v>45</v>
      </c>
      <c r="E61" s="4" t="s">
        <v>46</v>
      </c>
      <c r="F61" s="5" t="n">
        <v>64767</v>
      </c>
      <c r="G61" s="3" t="n">
        <v>6</v>
      </c>
      <c r="H61" s="3" t="n">
        <v>4</v>
      </c>
      <c r="I61" s="3" t="n">
        <v>2</v>
      </c>
      <c r="J61" s="3" t="n">
        <v>7.2</v>
      </c>
      <c r="K61" s="3" t="s">
        <v>23</v>
      </c>
      <c r="L61" s="3" t="s">
        <v>18</v>
      </c>
      <c r="M61" s="6" t="n">
        <v>0</v>
      </c>
    </row>
    <row r="62" customFormat="false" ht="15" hidden="false" customHeight="false" outlineLevel="0" collapsed="false">
      <c r="A62" s="3" t="s">
        <v>110</v>
      </c>
      <c r="B62" s="3" t="n">
        <v>41</v>
      </c>
      <c r="C62" s="3" t="s">
        <v>15</v>
      </c>
      <c r="D62" s="4" t="s">
        <v>16</v>
      </c>
      <c r="E62" s="4" t="s">
        <v>17</v>
      </c>
      <c r="F62" s="5" t="n">
        <v>84666</v>
      </c>
      <c r="G62" s="3" t="n">
        <v>7</v>
      </c>
      <c r="H62" s="3" t="n">
        <v>3</v>
      </c>
      <c r="I62" s="3" t="n">
        <v>4</v>
      </c>
      <c r="J62" s="3" t="n">
        <v>9</v>
      </c>
      <c r="K62" s="3" t="s">
        <v>18</v>
      </c>
      <c r="L62" s="3" t="s">
        <v>18</v>
      </c>
      <c r="M62" s="6" t="n">
        <v>0</v>
      </c>
    </row>
    <row r="63" customFormat="false" ht="15" hidden="false" customHeight="false" outlineLevel="0" collapsed="false">
      <c r="A63" s="3" t="s">
        <v>111</v>
      </c>
      <c r="B63" s="3" t="n">
        <v>54</v>
      </c>
      <c r="C63" s="3" t="s">
        <v>20</v>
      </c>
      <c r="D63" s="4" t="s">
        <v>45</v>
      </c>
      <c r="E63" s="4" t="s">
        <v>66</v>
      </c>
      <c r="F63" s="5" t="n">
        <v>101464</v>
      </c>
      <c r="G63" s="3" t="n">
        <v>14</v>
      </c>
      <c r="H63" s="3" t="n">
        <v>1</v>
      </c>
      <c r="I63" s="3" t="n">
        <v>3</v>
      </c>
      <c r="J63" s="3" t="n">
        <v>4.8</v>
      </c>
      <c r="K63" s="3" t="s">
        <v>23</v>
      </c>
      <c r="L63" s="3" t="s">
        <v>23</v>
      </c>
      <c r="M63" s="6" t="n">
        <v>1</v>
      </c>
    </row>
    <row r="64" customFormat="false" ht="15" hidden="false" customHeight="false" outlineLevel="0" collapsed="false">
      <c r="A64" s="3" t="s">
        <v>112</v>
      </c>
      <c r="B64" s="3" t="n">
        <v>25</v>
      </c>
      <c r="C64" s="3" t="s">
        <v>15</v>
      </c>
      <c r="D64" s="4" t="s">
        <v>21</v>
      </c>
      <c r="E64" s="4" t="s">
        <v>22</v>
      </c>
      <c r="F64" s="5" t="n">
        <v>72709</v>
      </c>
      <c r="G64" s="3" t="n">
        <v>1</v>
      </c>
      <c r="H64" s="3" t="n">
        <v>3</v>
      </c>
      <c r="I64" s="3" t="n">
        <v>4</v>
      </c>
      <c r="J64" s="3" t="n">
        <v>8</v>
      </c>
      <c r="K64" s="3" t="s">
        <v>18</v>
      </c>
      <c r="L64" s="3" t="s">
        <v>23</v>
      </c>
      <c r="M64" s="6" t="n">
        <v>1</v>
      </c>
    </row>
    <row r="65" customFormat="false" ht="15" hidden="false" customHeight="false" outlineLevel="0" collapsed="false">
      <c r="A65" s="3" t="s">
        <v>113</v>
      </c>
      <c r="B65" s="3" t="n">
        <v>48</v>
      </c>
      <c r="C65" s="3" t="s">
        <v>15</v>
      </c>
      <c r="D65" s="4" t="s">
        <v>45</v>
      </c>
      <c r="E65" s="4" t="s">
        <v>52</v>
      </c>
      <c r="F65" s="5" t="n">
        <v>58720</v>
      </c>
      <c r="G65" s="3" t="n">
        <v>2</v>
      </c>
      <c r="H65" s="3" t="n">
        <v>2</v>
      </c>
      <c r="I65" s="3" t="n">
        <v>2</v>
      </c>
      <c r="J65" s="3" t="n">
        <v>4.3</v>
      </c>
      <c r="K65" s="3" t="s">
        <v>18</v>
      </c>
      <c r="L65" s="3" t="s">
        <v>23</v>
      </c>
      <c r="M65" s="6" t="n">
        <v>1</v>
      </c>
    </row>
    <row r="66" customFormat="false" ht="15" hidden="false" customHeight="false" outlineLevel="0" collapsed="false">
      <c r="A66" s="3" t="s">
        <v>114</v>
      </c>
      <c r="B66" s="3" t="n">
        <v>26</v>
      </c>
      <c r="C66" s="3" t="s">
        <v>20</v>
      </c>
      <c r="D66" s="4" t="s">
        <v>31</v>
      </c>
      <c r="E66" s="4" t="s">
        <v>77</v>
      </c>
      <c r="F66" s="5" t="n">
        <v>43572</v>
      </c>
      <c r="G66" s="3" t="n">
        <v>1</v>
      </c>
      <c r="H66" s="3" t="n">
        <v>2</v>
      </c>
      <c r="I66" s="3" t="n">
        <v>2</v>
      </c>
      <c r="J66" s="3" t="n">
        <v>4.4</v>
      </c>
      <c r="K66" s="3" t="s">
        <v>18</v>
      </c>
      <c r="L66" s="3" t="s">
        <v>18</v>
      </c>
      <c r="M66" s="6" t="n">
        <v>0</v>
      </c>
    </row>
    <row r="67" customFormat="false" ht="15" hidden="false" customHeight="false" outlineLevel="0" collapsed="false">
      <c r="A67" s="3" t="s">
        <v>115</v>
      </c>
      <c r="B67" s="3" t="n">
        <v>29</v>
      </c>
      <c r="C67" s="3" t="s">
        <v>20</v>
      </c>
      <c r="D67" s="4" t="s">
        <v>45</v>
      </c>
      <c r="E67" s="4" t="s">
        <v>52</v>
      </c>
      <c r="F67" s="5" t="n">
        <v>71836</v>
      </c>
      <c r="G67" s="3" t="n">
        <v>5</v>
      </c>
      <c r="H67" s="3" t="n">
        <v>5</v>
      </c>
      <c r="I67" s="3" t="n">
        <v>1</v>
      </c>
      <c r="J67" s="3" t="n">
        <v>8.3</v>
      </c>
      <c r="K67" s="3" t="s">
        <v>23</v>
      </c>
      <c r="L67" s="3" t="s">
        <v>18</v>
      </c>
      <c r="M67" s="6" t="n">
        <v>0</v>
      </c>
    </row>
    <row r="68" customFormat="false" ht="15" hidden="false" customHeight="false" outlineLevel="0" collapsed="false">
      <c r="A68" s="3" t="s">
        <v>116</v>
      </c>
      <c r="B68" s="3" t="n">
        <v>53</v>
      </c>
      <c r="C68" s="3" t="s">
        <v>15</v>
      </c>
      <c r="D68" s="4" t="s">
        <v>21</v>
      </c>
      <c r="E68" s="4" t="s">
        <v>58</v>
      </c>
      <c r="F68" s="5" t="n">
        <v>99882</v>
      </c>
      <c r="G68" s="3" t="n">
        <v>8</v>
      </c>
      <c r="H68" s="3" t="n">
        <v>3</v>
      </c>
      <c r="I68" s="3" t="n">
        <v>4</v>
      </c>
      <c r="J68" s="3" t="n">
        <v>3.3</v>
      </c>
      <c r="K68" s="3" t="s">
        <v>23</v>
      </c>
      <c r="L68" s="3" t="s">
        <v>23</v>
      </c>
      <c r="M68" s="6" t="n">
        <v>1</v>
      </c>
    </row>
    <row r="69" customFormat="false" ht="15" hidden="false" customHeight="false" outlineLevel="0" collapsed="false">
      <c r="A69" s="3" t="s">
        <v>117</v>
      </c>
      <c r="B69" s="3" t="n">
        <v>49</v>
      </c>
      <c r="C69" s="3" t="s">
        <v>20</v>
      </c>
      <c r="D69" s="4" t="s">
        <v>31</v>
      </c>
      <c r="E69" s="4" t="s">
        <v>87</v>
      </c>
      <c r="F69" s="5" t="n">
        <v>47314</v>
      </c>
      <c r="G69" s="3" t="n">
        <v>4</v>
      </c>
      <c r="H69" s="3" t="n">
        <v>5</v>
      </c>
      <c r="I69" s="3" t="n">
        <v>4</v>
      </c>
      <c r="J69" s="3" t="n">
        <v>6.6</v>
      </c>
      <c r="K69" s="3" t="s">
        <v>18</v>
      </c>
      <c r="L69" s="3" t="s">
        <v>18</v>
      </c>
      <c r="M69" s="6" t="n">
        <v>0</v>
      </c>
    </row>
    <row r="70" customFormat="false" ht="15" hidden="false" customHeight="false" outlineLevel="0" collapsed="false">
      <c r="A70" s="3" t="s">
        <v>118</v>
      </c>
      <c r="B70" s="3" t="n">
        <v>30</v>
      </c>
      <c r="C70" s="3" t="s">
        <v>20</v>
      </c>
      <c r="D70" s="4" t="s">
        <v>16</v>
      </c>
      <c r="E70" s="4" t="s">
        <v>17</v>
      </c>
      <c r="F70" s="5" t="n">
        <v>60556</v>
      </c>
      <c r="G70" s="3" t="n">
        <v>1</v>
      </c>
      <c r="H70" s="3" t="n">
        <v>2</v>
      </c>
      <c r="I70" s="3" t="n">
        <v>4</v>
      </c>
      <c r="J70" s="3" t="n">
        <v>9.1</v>
      </c>
      <c r="K70" s="3" t="s">
        <v>23</v>
      </c>
      <c r="L70" s="3" t="s">
        <v>18</v>
      </c>
      <c r="M70" s="6" t="n">
        <v>0</v>
      </c>
    </row>
    <row r="71" customFormat="false" ht="15" hidden="false" customHeight="false" outlineLevel="0" collapsed="false">
      <c r="A71" s="3" t="s">
        <v>119</v>
      </c>
      <c r="B71" s="3" t="n">
        <v>46</v>
      </c>
      <c r="C71" s="3" t="s">
        <v>15</v>
      </c>
      <c r="D71" s="4" t="s">
        <v>31</v>
      </c>
      <c r="E71" s="4" t="s">
        <v>56</v>
      </c>
      <c r="F71" s="5" t="n">
        <v>52493</v>
      </c>
      <c r="G71" s="3" t="n">
        <v>3</v>
      </c>
      <c r="H71" s="3" t="n">
        <v>5</v>
      </c>
      <c r="I71" s="3" t="n">
        <v>2</v>
      </c>
      <c r="J71" s="3" t="n">
        <v>6.3</v>
      </c>
      <c r="K71" s="3" t="s">
        <v>18</v>
      </c>
      <c r="L71" s="3" t="s">
        <v>23</v>
      </c>
      <c r="M71" s="6" t="n">
        <v>1</v>
      </c>
    </row>
    <row r="72" customFormat="false" ht="15" hidden="false" customHeight="false" outlineLevel="0" collapsed="false">
      <c r="A72" s="3" t="s">
        <v>120</v>
      </c>
      <c r="B72" s="3" t="n">
        <v>47</v>
      </c>
      <c r="C72" s="3" t="s">
        <v>15</v>
      </c>
      <c r="D72" s="4" t="s">
        <v>31</v>
      </c>
      <c r="E72" s="4" t="s">
        <v>32</v>
      </c>
      <c r="F72" s="5" t="n">
        <v>74595</v>
      </c>
      <c r="G72" s="3" t="n">
        <v>19</v>
      </c>
      <c r="H72" s="3" t="n">
        <v>5</v>
      </c>
      <c r="I72" s="3" t="n">
        <v>3</v>
      </c>
      <c r="J72" s="3" t="n">
        <v>7.4</v>
      </c>
      <c r="K72" s="3" t="s">
        <v>18</v>
      </c>
      <c r="L72" s="3" t="s">
        <v>18</v>
      </c>
      <c r="M72" s="6" t="n">
        <v>0</v>
      </c>
    </row>
    <row r="73" customFormat="false" ht="15" hidden="false" customHeight="false" outlineLevel="0" collapsed="false">
      <c r="A73" s="3" t="s">
        <v>121</v>
      </c>
      <c r="B73" s="3" t="n">
        <v>28</v>
      </c>
      <c r="C73" s="3" t="s">
        <v>20</v>
      </c>
      <c r="D73" s="4" t="s">
        <v>61</v>
      </c>
      <c r="E73" s="4" t="s">
        <v>85</v>
      </c>
      <c r="F73" s="5" t="n">
        <v>58888</v>
      </c>
      <c r="G73" s="3" t="n">
        <v>6</v>
      </c>
      <c r="H73" s="3" t="n">
        <v>4</v>
      </c>
      <c r="I73" s="3" t="n">
        <v>3</v>
      </c>
      <c r="J73" s="3" t="n">
        <v>7.9</v>
      </c>
      <c r="K73" s="3" t="s">
        <v>23</v>
      </c>
      <c r="L73" s="3" t="s">
        <v>18</v>
      </c>
      <c r="M73" s="6" t="n">
        <v>0</v>
      </c>
    </row>
    <row r="74" customFormat="false" ht="15" hidden="false" customHeight="false" outlineLevel="0" collapsed="false">
      <c r="A74" s="3" t="s">
        <v>122</v>
      </c>
      <c r="B74" s="3" t="n">
        <v>55</v>
      </c>
      <c r="C74" s="3" t="s">
        <v>20</v>
      </c>
      <c r="D74" s="4" t="s">
        <v>28</v>
      </c>
      <c r="E74" s="4" t="s">
        <v>83</v>
      </c>
      <c r="F74" s="5" t="n">
        <v>70791</v>
      </c>
      <c r="G74" s="3" t="n">
        <v>23</v>
      </c>
      <c r="H74" s="3" t="n">
        <v>5</v>
      </c>
      <c r="I74" s="3" t="n">
        <v>2</v>
      </c>
      <c r="J74" s="3" t="n">
        <v>5.1</v>
      </c>
      <c r="K74" s="3" t="s">
        <v>18</v>
      </c>
      <c r="L74" s="3" t="s">
        <v>18</v>
      </c>
      <c r="M74" s="6" t="n">
        <v>0</v>
      </c>
    </row>
    <row r="75" customFormat="false" ht="15" hidden="false" customHeight="false" outlineLevel="0" collapsed="false">
      <c r="A75" s="3" t="s">
        <v>123</v>
      </c>
      <c r="B75" s="3" t="n">
        <v>53</v>
      </c>
      <c r="C75" s="3" t="s">
        <v>15</v>
      </c>
      <c r="D75" s="4" t="s">
        <v>61</v>
      </c>
      <c r="E75" s="4" t="s">
        <v>89</v>
      </c>
      <c r="F75" s="5" t="n">
        <v>96158</v>
      </c>
      <c r="G75" s="3" t="n">
        <v>22</v>
      </c>
      <c r="H75" s="3" t="n">
        <v>1</v>
      </c>
      <c r="I75" s="3" t="n">
        <v>2</v>
      </c>
      <c r="J75" s="3" t="n">
        <v>6.4</v>
      </c>
      <c r="K75" s="3" t="s">
        <v>23</v>
      </c>
      <c r="L75" s="3" t="s">
        <v>23</v>
      </c>
      <c r="M75" s="6" t="n">
        <v>1</v>
      </c>
    </row>
    <row r="76" customFormat="false" ht="15" hidden="false" customHeight="false" outlineLevel="0" collapsed="false">
      <c r="A76" s="3" t="s">
        <v>124</v>
      </c>
      <c r="B76" s="3" t="n">
        <v>26</v>
      </c>
      <c r="C76" s="3" t="s">
        <v>15</v>
      </c>
      <c r="D76" s="4" t="s">
        <v>41</v>
      </c>
      <c r="E76" s="4" t="s">
        <v>74</v>
      </c>
      <c r="F76" s="5" t="n">
        <v>32138</v>
      </c>
      <c r="G76" s="3" t="n">
        <v>1</v>
      </c>
      <c r="H76" s="3" t="n">
        <v>4</v>
      </c>
      <c r="I76" s="3" t="n">
        <v>4</v>
      </c>
      <c r="J76" s="3" t="n">
        <v>9.7</v>
      </c>
      <c r="K76" s="3" t="s">
        <v>18</v>
      </c>
      <c r="L76" s="3" t="s">
        <v>18</v>
      </c>
      <c r="M76" s="6" t="n">
        <v>0</v>
      </c>
    </row>
    <row r="77" customFormat="false" ht="15" hidden="false" customHeight="false" outlineLevel="0" collapsed="false">
      <c r="A77" s="3" t="s">
        <v>125</v>
      </c>
      <c r="B77" s="3" t="n">
        <v>54</v>
      </c>
      <c r="C77" s="3" t="s">
        <v>15</v>
      </c>
      <c r="D77" s="4" t="s">
        <v>16</v>
      </c>
      <c r="E77" s="4" t="s">
        <v>68</v>
      </c>
      <c r="F77" s="5" t="n">
        <v>78883</v>
      </c>
      <c r="G77" s="3" t="n">
        <v>2</v>
      </c>
      <c r="H77" s="3" t="n">
        <v>2</v>
      </c>
      <c r="I77" s="3" t="n">
        <v>3</v>
      </c>
      <c r="J77" s="3" t="n">
        <v>7.9</v>
      </c>
      <c r="K77" s="3" t="s">
        <v>18</v>
      </c>
      <c r="L77" s="3" t="s">
        <v>23</v>
      </c>
      <c r="M77" s="6" t="n">
        <v>1</v>
      </c>
    </row>
    <row r="78" customFormat="false" ht="15" hidden="false" customHeight="false" outlineLevel="0" collapsed="false">
      <c r="A78" s="3" t="s">
        <v>126</v>
      </c>
      <c r="B78" s="3" t="n">
        <v>32</v>
      </c>
      <c r="C78" s="3" t="s">
        <v>15</v>
      </c>
      <c r="D78" s="4" t="s">
        <v>45</v>
      </c>
      <c r="E78" s="4" t="s">
        <v>52</v>
      </c>
      <c r="F78" s="5" t="n">
        <v>53969</v>
      </c>
      <c r="G78" s="3" t="n">
        <v>1</v>
      </c>
      <c r="H78" s="3" t="n">
        <v>4</v>
      </c>
      <c r="I78" s="3" t="n">
        <v>4</v>
      </c>
      <c r="J78" s="3" t="n">
        <v>9.3</v>
      </c>
      <c r="K78" s="3" t="s">
        <v>23</v>
      </c>
      <c r="L78" s="3" t="s">
        <v>18</v>
      </c>
      <c r="M78" s="6" t="n">
        <v>0</v>
      </c>
    </row>
    <row r="79" customFormat="false" ht="15" hidden="false" customHeight="false" outlineLevel="0" collapsed="false">
      <c r="A79" s="3" t="s">
        <v>127</v>
      </c>
      <c r="B79" s="3" t="n">
        <v>50</v>
      </c>
      <c r="C79" s="3" t="s">
        <v>15</v>
      </c>
      <c r="D79" s="4" t="s">
        <v>61</v>
      </c>
      <c r="E79" s="4" t="s">
        <v>85</v>
      </c>
      <c r="F79" s="5" t="n">
        <v>52215</v>
      </c>
      <c r="G79" s="3" t="n">
        <v>4</v>
      </c>
      <c r="H79" s="3" t="n">
        <v>4</v>
      </c>
      <c r="I79" s="3" t="n">
        <v>4</v>
      </c>
      <c r="J79" s="3" t="n">
        <v>7.1</v>
      </c>
      <c r="K79" s="3" t="s">
        <v>18</v>
      </c>
      <c r="L79" s="3" t="s">
        <v>18</v>
      </c>
      <c r="M79" s="6" t="n">
        <v>0</v>
      </c>
    </row>
    <row r="80" customFormat="false" ht="15" hidden="false" customHeight="false" outlineLevel="0" collapsed="false">
      <c r="A80" s="3" t="s">
        <v>128</v>
      </c>
      <c r="B80" s="3" t="n">
        <v>38</v>
      </c>
      <c r="C80" s="3" t="s">
        <v>15</v>
      </c>
      <c r="D80" s="4" t="s">
        <v>16</v>
      </c>
      <c r="E80" s="4" t="s">
        <v>68</v>
      </c>
      <c r="F80" s="5" t="n">
        <v>97997</v>
      </c>
      <c r="G80" s="3" t="n">
        <v>10</v>
      </c>
      <c r="H80" s="3" t="n">
        <v>3</v>
      </c>
      <c r="I80" s="3" t="n">
        <v>2</v>
      </c>
      <c r="J80" s="3" t="n">
        <v>5.2</v>
      </c>
      <c r="K80" s="3" t="s">
        <v>18</v>
      </c>
      <c r="L80" s="3" t="s">
        <v>18</v>
      </c>
      <c r="M80" s="6" t="n">
        <v>0</v>
      </c>
    </row>
    <row r="81" customFormat="false" ht="15" hidden="false" customHeight="false" outlineLevel="0" collapsed="false">
      <c r="A81" s="3" t="s">
        <v>129</v>
      </c>
      <c r="B81" s="3" t="n">
        <v>36</v>
      </c>
      <c r="C81" s="3" t="s">
        <v>15</v>
      </c>
      <c r="D81" s="4" t="s">
        <v>41</v>
      </c>
      <c r="E81" s="4" t="s">
        <v>74</v>
      </c>
      <c r="F81" s="5" t="n">
        <v>42715</v>
      </c>
      <c r="G81" s="3" t="n">
        <v>5</v>
      </c>
      <c r="H81" s="3" t="n">
        <v>1</v>
      </c>
      <c r="I81" s="3" t="n">
        <v>4</v>
      </c>
      <c r="J81" s="3" t="n">
        <v>6.2</v>
      </c>
      <c r="K81" s="3" t="s">
        <v>23</v>
      </c>
      <c r="L81" s="3" t="s">
        <v>23</v>
      </c>
      <c r="M81" s="6" t="n">
        <v>1</v>
      </c>
    </row>
    <row r="82" customFormat="false" ht="15" hidden="false" customHeight="false" outlineLevel="0" collapsed="false">
      <c r="A82" s="3" t="s">
        <v>130</v>
      </c>
      <c r="B82" s="3" t="n">
        <v>44</v>
      </c>
      <c r="C82" s="3" t="s">
        <v>15</v>
      </c>
      <c r="D82" s="4" t="s">
        <v>45</v>
      </c>
      <c r="E82" s="4" t="s">
        <v>66</v>
      </c>
      <c r="F82" s="5" t="n">
        <v>63319</v>
      </c>
      <c r="G82" s="3" t="n">
        <v>6</v>
      </c>
      <c r="H82" s="3" t="n">
        <v>2</v>
      </c>
      <c r="I82" s="3" t="n">
        <v>4</v>
      </c>
      <c r="J82" s="3" t="n">
        <v>3.8</v>
      </c>
      <c r="K82" s="3" t="s">
        <v>18</v>
      </c>
      <c r="L82" s="3" t="s">
        <v>18</v>
      </c>
      <c r="M82" s="6" t="n">
        <v>0</v>
      </c>
    </row>
    <row r="83" customFormat="false" ht="15" hidden="false" customHeight="false" outlineLevel="0" collapsed="false">
      <c r="A83" s="3" t="s">
        <v>131</v>
      </c>
      <c r="B83" s="3" t="n">
        <v>22</v>
      </c>
      <c r="C83" s="3" t="s">
        <v>15</v>
      </c>
      <c r="D83" s="4" t="s">
        <v>28</v>
      </c>
      <c r="E83" s="4" t="s">
        <v>29</v>
      </c>
      <c r="F83" s="5" t="n">
        <v>45119</v>
      </c>
      <c r="G83" s="3" t="n">
        <v>1</v>
      </c>
      <c r="H83" s="3" t="n">
        <v>5</v>
      </c>
      <c r="I83" s="3" t="n">
        <v>1</v>
      </c>
      <c r="J83" s="3" t="n">
        <v>9.1</v>
      </c>
      <c r="K83" s="3" t="s">
        <v>23</v>
      </c>
      <c r="L83" s="3" t="s">
        <v>18</v>
      </c>
      <c r="M83" s="6" t="n">
        <v>0</v>
      </c>
    </row>
    <row r="84" customFormat="false" ht="15" hidden="false" customHeight="false" outlineLevel="0" collapsed="false">
      <c r="A84" s="3" t="s">
        <v>132</v>
      </c>
      <c r="B84" s="3" t="n">
        <v>22</v>
      </c>
      <c r="C84" s="3" t="s">
        <v>15</v>
      </c>
      <c r="D84" s="4" t="s">
        <v>45</v>
      </c>
      <c r="E84" s="4" t="s">
        <v>52</v>
      </c>
      <c r="F84" s="5" t="n">
        <v>58698</v>
      </c>
      <c r="G84" s="3" t="n">
        <v>1</v>
      </c>
      <c r="H84" s="3" t="n">
        <v>3</v>
      </c>
      <c r="I84" s="3" t="n">
        <v>3</v>
      </c>
      <c r="J84" s="3" t="n">
        <v>8.2</v>
      </c>
      <c r="K84" s="3" t="s">
        <v>23</v>
      </c>
      <c r="L84" s="3" t="s">
        <v>18</v>
      </c>
      <c r="M84" s="6" t="n">
        <v>0</v>
      </c>
    </row>
    <row r="85" customFormat="false" ht="15" hidden="false" customHeight="false" outlineLevel="0" collapsed="false">
      <c r="A85" s="3" t="s">
        <v>133</v>
      </c>
      <c r="B85" s="3" t="n">
        <v>44</v>
      </c>
      <c r="C85" s="3" t="s">
        <v>20</v>
      </c>
      <c r="D85" s="4" t="s">
        <v>41</v>
      </c>
      <c r="E85" s="4" t="s">
        <v>74</v>
      </c>
      <c r="F85" s="5" t="n">
        <v>63113</v>
      </c>
      <c r="G85" s="3" t="n">
        <v>20</v>
      </c>
      <c r="H85" s="3" t="n">
        <v>3</v>
      </c>
      <c r="I85" s="3" t="n">
        <v>2</v>
      </c>
      <c r="J85" s="3" t="n">
        <v>8.4</v>
      </c>
      <c r="K85" s="3" t="s">
        <v>18</v>
      </c>
      <c r="L85" s="3" t="s">
        <v>23</v>
      </c>
      <c r="M85" s="6" t="n">
        <v>1</v>
      </c>
    </row>
    <row r="86" customFormat="false" ht="15" hidden="false" customHeight="false" outlineLevel="0" collapsed="false">
      <c r="A86" s="3" t="s">
        <v>134</v>
      </c>
      <c r="B86" s="3" t="n">
        <v>34</v>
      </c>
      <c r="C86" s="3" t="s">
        <v>15</v>
      </c>
      <c r="D86" s="4" t="s">
        <v>28</v>
      </c>
      <c r="E86" s="4" t="s">
        <v>29</v>
      </c>
      <c r="F86" s="5" t="n">
        <v>54562</v>
      </c>
      <c r="G86" s="3" t="n">
        <v>7</v>
      </c>
      <c r="H86" s="3" t="n">
        <v>5</v>
      </c>
      <c r="I86" s="3" t="n">
        <v>1</v>
      </c>
      <c r="J86" s="3" t="n">
        <v>9.1</v>
      </c>
      <c r="K86" s="3" t="s">
        <v>18</v>
      </c>
      <c r="L86" s="3" t="s">
        <v>18</v>
      </c>
      <c r="M86" s="6" t="n">
        <v>0</v>
      </c>
    </row>
    <row r="87" customFormat="false" ht="15" hidden="false" customHeight="false" outlineLevel="0" collapsed="false">
      <c r="A87" s="3" t="s">
        <v>135</v>
      </c>
      <c r="B87" s="3" t="n">
        <v>47</v>
      </c>
      <c r="C87" s="3" t="s">
        <v>20</v>
      </c>
      <c r="D87" s="4" t="s">
        <v>41</v>
      </c>
      <c r="E87" s="4" t="s">
        <v>74</v>
      </c>
      <c r="F87" s="5" t="n">
        <v>50466</v>
      </c>
      <c r="G87" s="3" t="n">
        <v>13</v>
      </c>
      <c r="H87" s="3" t="n">
        <v>4</v>
      </c>
      <c r="I87" s="3" t="n">
        <v>1</v>
      </c>
      <c r="J87" s="3" t="n">
        <v>4.7</v>
      </c>
      <c r="K87" s="3" t="s">
        <v>23</v>
      </c>
      <c r="L87" s="3" t="s">
        <v>23</v>
      </c>
      <c r="M87" s="6" t="n">
        <v>1</v>
      </c>
    </row>
    <row r="88" customFormat="false" ht="15" hidden="false" customHeight="false" outlineLevel="0" collapsed="false">
      <c r="A88" s="3" t="s">
        <v>136</v>
      </c>
      <c r="B88" s="3" t="n">
        <v>35</v>
      </c>
      <c r="C88" s="3" t="s">
        <v>20</v>
      </c>
      <c r="D88" s="4" t="s">
        <v>21</v>
      </c>
      <c r="E88" s="4" t="s">
        <v>36</v>
      </c>
      <c r="F88" s="5" t="n">
        <v>102371</v>
      </c>
      <c r="G88" s="3" t="n">
        <v>11</v>
      </c>
      <c r="H88" s="3" t="n">
        <v>3</v>
      </c>
      <c r="I88" s="3" t="n">
        <v>1</v>
      </c>
      <c r="J88" s="3" t="n">
        <v>3.9</v>
      </c>
      <c r="K88" s="3" t="s">
        <v>23</v>
      </c>
      <c r="L88" s="3" t="s">
        <v>18</v>
      </c>
      <c r="M88" s="6" t="n">
        <v>0</v>
      </c>
    </row>
    <row r="89" customFormat="false" ht="15" hidden="false" customHeight="false" outlineLevel="0" collapsed="false">
      <c r="A89" s="3" t="s">
        <v>137</v>
      </c>
      <c r="B89" s="3" t="n">
        <v>38</v>
      </c>
      <c r="C89" s="3" t="s">
        <v>15</v>
      </c>
      <c r="D89" s="4" t="s">
        <v>28</v>
      </c>
      <c r="E89" s="4" t="s">
        <v>83</v>
      </c>
      <c r="F89" s="5" t="n">
        <v>49092</v>
      </c>
      <c r="G89" s="3" t="n">
        <v>8</v>
      </c>
      <c r="H89" s="3" t="n">
        <v>5</v>
      </c>
      <c r="I89" s="3" t="n">
        <v>1</v>
      </c>
      <c r="J89" s="3" t="n">
        <v>9.2</v>
      </c>
      <c r="K89" s="3" t="s">
        <v>18</v>
      </c>
      <c r="L89" s="3" t="s">
        <v>18</v>
      </c>
      <c r="M89" s="6" t="n">
        <v>0</v>
      </c>
    </row>
    <row r="90" customFormat="false" ht="15" hidden="false" customHeight="false" outlineLevel="0" collapsed="false">
      <c r="A90" s="3" t="s">
        <v>138</v>
      </c>
      <c r="B90" s="3" t="n">
        <v>46</v>
      </c>
      <c r="C90" s="3" t="s">
        <v>15</v>
      </c>
      <c r="D90" s="4" t="s">
        <v>45</v>
      </c>
      <c r="E90" s="4" t="s">
        <v>52</v>
      </c>
      <c r="F90" s="5" t="n">
        <v>86085</v>
      </c>
      <c r="G90" s="3" t="n">
        <v>16</v>
      </c>
      <c r="H90" s="3" t="n">
        <v>4</v>
      </c>
      <c r="I90" s="3" t="n">
        <v>4</v>
      </c>
      <c r="J90" s="3" t="n">
        <v>8.1</v>
      </c>
      <c r="K90" s="3" t="s">
        <v>23</v>
      </c>
      <c r="L90" s="3" t="s">
        <v>23</v>
      </c>
      <c r="M90" s="6" t="n">
        <v>1</v>
      </c>
    </row>
    <row r="91" customFormat="false" ht="15" hidden="false" customHeight="false" outlineLevel="0" collapsed="false">
      <c r="A91" s="3" t="s">
        <v>139</v>
      </c>
      <c r="B91" s="3" t="n">
        <v>34</v>
      </c>
      <c r="C91" s="3" t="s">
        <v>15</v>
      </c>
      <c r="D91" s="4" t="s">
        <v>41</v>
      </c>
      <c r="E91" s="4" t="s">
        <v>140</v>
      </c>
      <c r="F91" s="5" t="n">
        <v>46372</v>
      </c>
      <c r="G91" s="3" t="n">
        <v>9</v>
      </c>
      <c r="H91" s="3" t="n">
        <v>2</v>
      </c>
      <c r="I91" s="3" t="n">
        <v>3</v>
      </c>
      <c r="J91" s="3" t="n">
        <v>7.5</v>
      </c>
      <c r="K91" s="3" t="s">
        <v>18</v>
      </c>
      <c r="L91" s="3" t="s">
        <v>18</v>
      </c>
      <c r="M91" s="6" t="n">
        <v>0</v>
      </c>
    </row>
    <row r="92" customFormat="false" ht="15" hidden="false" customHeight="false" outlineLevel="0" collapsed="false">
      <c r="A92" s="3" t="s">
        <v>141</v>
      </c>
      <c r="B92" s="3" t="n">
        <v>51</v>
      </c>
      <c r="C92" s="3" t="s">
        <v>15</v>
      </c>
      <c r="D92" s="4" t="s">
        <v>41</v>
      </c>
      <c r="E92" s="4" t="s">
        <v>140</v>
      </c>
      <c r="F92" s="5" t="n">
        <v>57635</v>
      </c>
      <c r="G92" s="3" t="n">
        <v>19</v>
      </c>
      <c r="H92" s="3" t="n">
        <v>2</v>
      </c>
      <c r="I92" s="3" t="n">
        <v>1</v>
      </c>
      <c r="J92" s="3" t="n">
        <v>4.1</v>
      </c>
      <c r="K92" s="3" t="s">
        <v>18</v>
      </c>
      <c r="L92" s="3" t="s">
        <v>18</v>
      </c>
      <c r="M92" s="6" t="n">
        <v>0</v>
      </c>
    </row>
    <row r="93" customFormat="false" ht="15" hidden="false" customHeight="false" outlineLevel="0" collapsed="false">
      <c r="A93" s="3" t="s">
        <v>142</v>
      </c>
      <c r="B93" s="3" t="n">
        <v>45</v>
      </c>
      <c r="C93" s="3" t="s">
        <v>20</v>
      </c>
      <c r="D93" s="4" t="s">
        <v>28</v>
      </c>
      <c r="E93" s="4" t="s">
        <v>29</v>
      </c>
      <c r="F93" s="5" t="n">
        <v>45591</v>
      </c>
      <c r="G93" s="3" t="n">
        <v>9</v>
      </c>
      <c r="H93" s="3" t="n">
        <v>2</v>
      </c>
      <c r="I93" s="3" t="n">
        <v>3</v>
      </c>
      <c r="J93" s="3" t="n">
        <v>7</v>
      </c>
      <c r="K93" s="3" t="s">
        <v>18</v>
      </c>
      <c r="L93" s="3" t="s">
        <v>23</v>
      </c>
      <c r="M93" s="6" t="n">
        <v>1</v>
      </c>
    </row>
    <row r="94" customFormat="false" ht="15" hidden="false" customHeight="false" outlineLevel="0" collapsed="false">
      <c r="A94" s="3" t="s">
        <v>143</v>
      </c>
      <c r="B94" s="3" t="n">
        <v>36</v>
      </c>
      <c r="C94" s="3" t="s">
        <v>20</v>
      </c>
      <c r="D94" s="4" t="s">
        <v>16</v>
      </c>
      <c r="E94" s="4" t="s">
        <v>34</v>
      </c>
      <c r="F94" s="5" t="n">
        <v>106462</v>
      </c>
      <c r="G94" s="3" t="n">
        <v>11</v>
      </c>
      <c r="H94" s="3" t="n">
        <v>1</v>
      </c>
      <c r="I94" s="3" t="n">
        <v>3</v>
      </c>
      <c r="J94" s="3" t="n">
        <v>4.9</v>
      </c>
      <c r="K94" s="3" t="s">
        <v>23</v>
      </c>
      <c r="L94" s="3" t="s">
        <v>18</v>
      </c>
      <c r="M94" s="6" t="n">
        <v>0</v>
      </c>
    </row>
    <row r="95" customFormat="false" ht="15" hidden="false" customHeight="false" outlineLevel="0" collapsed="false">
      <c r="A95" s="3" t="s">
        <v>144</v>
      </c>
      <c r="B95" s="3" t="n">
        <v>45</v>
      </c>
      <c r="C95" s="3" t="s">
        <v>15</v>
      </c>
      <c r="D95" s="4" t="s">
        <v>28</v>
      </c>
      <c r="E95" s="4" t="s">
        <v>48</v>
      </c>
      <c r="F95" s="5" t="n">
        <v>37853</v>
      </c>
      <c r="G95" s="3" t="n">
        <v>1</v>
      </c>
      <c r="H95" s="3" t="n">
        <v>2</v>
      </c>
      <c r="I95" s="3" t="n">
        <v>3</v>
      </c>
      <c r="J95" s="3" t="n">
        <v>5.1</v>
      </c>
      <c r="K95" s="3" t="s">
        <v>18</v>
      </c>
      <c r="L95" s="3" t="s">
        <v>18</v>
      </c>
      <c r="M95" s="6" t="n">
        <v>0</v>
      </c>
    </row>
    <row r="96" customFormat="false" ht="15" hidden="false" customHeight="false" outlineLevel="0" collapsed="false">
      <c r="A96" s="3" t="s">
        <v>145</v>
      </c>
      <c r="B96" s="3" t="n">
        <v>39</v>
      </c>
      <c r="C96" s="3" t="s">
        <v>15</v>
      </c>
      <c r="D96" s="4" t="s">
        <v>28</v>
      </c>
      <c r="E96" s="4" t="s">
        <v>48</v>
      </c>
      <c r="F96" s="5" t="n">
        <v>46720</v>
      </c>
      <c r="G96" s="3" t="n">
        <v>6</v>
      </c>
      <c r="H96" s="3" t="n">
        <v>3</v>
      </c>
      <c r="I96" s="3" t="n">
        <v>3</v>
      </c>
      <c r="J96" s="3" t="n">
        <v>5.8</v>
      </c>
      <c r="K96" s="3" t="s">
        <v>18</v>
      </c>
      <c r="L96" s="3" t="s">
        <v>18</v>
      </c>
      <c r="M96" s="6" t="n">
        <v>0</v>
      </c>
    </row>
    <row r="97" customFormat="false" ht="15" hidden="false" customHeight="false" outlineLevel="0" collapsed="false">
      <c r="A97" s="3" t="s">
        <v>146</v>
      </c>
      <c r="B97" s="3" t="n">
        <v>22</v>
      </c>
      <c r="C97" s="3" t="s">
        <v>20</v>
      </c>
      <c r="D97" s="4" t="s">
        <v>28</v>
      </c>
      <c r="E97" s="4" t="s">
        <v>29</v>
      </c>
      <c r="F97" s="5" t="n">
        <v>41733</v>
      </c>
      <c r="G97" s="3" t="n">
        <v>1</v>
      </c>
      <c r="H97" s="3" t="n">
        <v>1</v>
      </c>
      <c r="I97" s="3" t="n">
        <v>1</v>
      </c>
      <c r="J97" s="3" t="n">
        <v>6.2</v>
      </c>
      <c r="K97" s="3" t="s">
        <v>18</v>
      </c>
      <c r="L97" s="3" t="s">
        <v>18</v>
      </c>
      <c r="M97" s="6" t="n">
        <v>0</v>
      </c>
    </row>
    <row r="98" customFormat="false" ht="15" hidden="false" customHeight="false" outlineLevel="0" collapsed="false">
      <c r="A98" s="3" t="s">
        <v>147</v>
      </c>
      <c r="B98" s="3" t="n">
        <v>50</v>
      </c>
      <c r="C98" s="3" t="s">
        <v>15</v>
      </c>
      <c r="D98" s="4" t="s">
        <v>31</v>
      </c>
      <c r="E98" s="4" t="s">
        <v>77</v>
      </c>
      <c r="F98" s="5" t="n">
        <v>70874</v>
      </c>
      <c r="G98" s="3" t="n">
        <v>13</v>
      </c>
      <c r="H98" s="3" t="n">
        <v>1</v>
      </c>
      <c r="I98" s="3" t="n">
        <v>2</v>
      </c>
      <c r="J98" s="3" t="n">
        <v>3.7</v>
      </c>
      <c r="K98" s="3" t="s">
        <v>23</v>
      </c>
      <c r="L98" s="3" t="s">
        <v>18</v>
      </c>
      <c r="M98" s="6" t="n">
        <v>0</v>
      </c>
    </row>
    <row r="99" customFormat="false" ht="15" hidden="false" customHeight="false" outlineLevel="0" collapsed="false">
      <c r="A99" s="3" t="s">
        <v>148</v>
      </c>
      <c r="B99" s="3" t="n">
        <v>43</v>
      </c>
      <c r="C99" s="3" t="s">
        <v>15</v>
      </c>
      <c r="D99" s="4" t="s">
        <v>31</v>
      </c>
      <c r="E99" s="4" t="s">
        <v>77</v>
      </c>
      <c r="F99" s="5" t="n">
        <v>49594</v>
      </c>
      <c r="G99" s="3" t="n">
        <v>7</v>
      </c>
      <c r="H99" s="3" t="n">
        <v>1</v>
      </c>
      <c r="I99" s="3" t="n">
        <v>4</v>
      </c>
      <c r="J99" s="3" t="n">
        <v>8.6</v>
      </c>
      <c r="K99" s="3" t="s">
        <v>23</v>
      </c>
      <c r="L99" s="3" t="s">
        <v>18</v>
      </c>
      <c r="M99" s="6" t="n">
        <v>0</v>
      </c>
    </row>
    <row r="100" customFormat="false" ht="15" hidden="false" customHeight="false" outlineLevel="0" collapsed="false">
      <c r="A100" s="3" t="s">
        <v>149</v>
      </c>
      <c r="B100" s="3" t="n">
        <v>47</v>
      </c>
      <c r="C100" s="3" t="s">
        <v>15</v>
      </c>
      <c r="D100" s="4" t="s">
        <v>61</v>
      </c>
      <c r="E100" s="4" t="s">
        <v>89</v>
      </c>
      <c r="F100" s="5" t="n">
        <v>61923</v>
      </c>
      <c r="G100" s="3" t="n">
        <v>11</v>
      </c>
      <c r="H100" s="3" t="n">
        <v>1</v>
      </c>
      <c r="I100" s="3" t="n">
        <v>1</v>
      </c>
      <c r="J100" s="3" t="n">
        <v>3.6</v>
      </c>
      <c r="K100" s="3" t="s">
        <v>18</v>
      </c>
      <c r="L100" s="3" t="s">
        <v>18</v>
      </c>
      <c r="M100" s="6" t="n">
        <v>0</v>
      </c>
    </row>
    <row r="101" customFormat="false" ht="15" hidden="false" customHeight="false" outlineLevel="0" collapsed="false">
      <c r="A101" s="3" t="s">
        <v>150</v>
      </c>
      <c r="B101" s="3" t="n">
        <v>28</v>
      </c>
      <c r="C101" s="3" t="s">
        <v>15</v>
      </c>
      <c r="D101" s="4" t="s">
        <v>25</v>
      </c>
      <c r="E101" s="4" t="s">
        <v>26</v>
      </c>
      <c r="F101" s="5" t="n">
        <v>34946</v>
      </c>
      <c r="G101" s="3" t="n">
        <v>2</v>
      </c>
      <c r="H101" s="3" t="n">
        <v>3</v>
      </c>
      <c r="I101" s="3" t="n">
        <v>3</v>
      </c>
      <c r="J101" s="3" t="n">
        <v>3.9</v>
      </c>
      <c r="K101" s="3" t="s">
        <v>18</v>
      </c>
      <c r="L101" s="3" t="s">
        <v>23</v>
      </c>
      <c r="M101" s="6" t="n">
        <v>1</v>
      </c>
    </row>
    <row r="102" customFormat="false" ht="15" hidden="false" customHeight="false" outlineLevel="0" collapsed="false">
      <c r="A102" s="3" t="s">
        <v>151</v>
      </c>
      <c r="B102" s="3" t="n">
        <v>23</v>
      </c>
      <c r="C102" s="3" t="s">
        <v>15</v>
      </c>
      <c r="D102" s="4" t="s">
        <v>28</v>
      </c>
      <c r="E102" s="4" t="s">
        <v>48</v>
      </c>
      <c r="F102" s="5" t="n">
        <v>38559</v>
      </c>
      <c r="G102" s="3" t="n">
        <v>1</v>
      </c>
      <c r="H102" s="3" t="n">
        <v>4</v>
      </c>
      <c r="I102" s="3" t="n">
        <v>2</v>
      </c>
      <c r="J102" s="3" t="n">
        <v>8.3</v>
      </c>
      <c r="K102" s="3" t="s">
        <v>18</v>
      </c>
      <c r="L102" s="3" t="s">
        <v>18</v>
      </c>
      <c r="M102" s="6" t="n">
        <v>0</v>
      </c>
    </row>
    <row r="103" customFormat="false" ht="15" hidden="false" customHeight="false" outlineLevel="0" collapsed="false">
      <c r="A103" s="3" t="s">
        <v>152</v>
      </c>
      <c r="B103" s="3" t="n">
        <v>26</v>
      </c>
      <c r="C103" s="3" t="s">
        <v>20</v>
      </c>
      <c r="D103" s="4" t="s">
        <v>61</v>
      </c>
      <c r="E103" s="4" t="s">
        <v>89</v>
      </c>
      <c r="F103" s="5" t="n">
        <v>49242</v>
      </c>
      <c r="G103" s="3" t="n">
        <v>2</v>
      </c>
      <c r="H103" s="3" t="n">
        <v>4</v>
      </c>
      <c r="I103" s="3" t="n">
        <v>2</v>
      </c>
      <c r="J103" s="3" t="n">
        <v>7.1</v>
      </c>
      <c r="K103" s="3" t="s">
        <v>18</v>
      </c>
      <c r="L103" s="3" t="s">
        <v>23</v>
      </c>
      <c r="M103" s="6" t="n">
        <v>1</v>
      </c>
    </row>
    <row r="104" customFormat="false" ht="15" hidden="false" customHeight="false" outlineLevel="0" collapsed="false">
      <c r="A104" s="3" t="s">
        <v>153</v>
      </c>
      <c r="B104" s="3" t="n">
        <v>55</v>
      </c>
      <c r="C104" s="3" t="s">
        <v>15</v>
      </c>
      <c r="D104" s="4" t="s">
        <v>45</v>
      </c>
      <c r="E104" s="4" t="s">
        <v>52</v>
      </c>
      <c r="F104" s="5" t="n">
        <v>86419</v>
      </c>
      <c r="G104" s="3" t="n">
        <v>10</v>
      </c>
      <c r="H104" s="3" t="n">
        <v>5</v>
      </c>
      <c r="I104" s="3" t="n">
        <v>3</v>
      </c>
      <c r="J104" s="3" t="n">
        <v>8.1</v>
      </c>
      <c r="K104" s="3" t="s">
        <v>23</v>
      </c>
      <c r="L104" s="3" t="s">
        <v>18</v>
      </c>
      <c r="M104" s="6" t="n">
        <v>0</v>
      </c>
    </row>
    <row r="105" customFormat="false" ht="15" hidden="false" customHeight="false" outlineLevel="0" collapsed="false">
      <c r="A105" s="3" t="s">
        <v>154</v>
      </c>
      <c r="B105" s="3" t="n">
        <v>35</v>
      </c>
      <c r="C105" s="3" t="s">
        <v>20</v>
      </c>
      <c r="D105" s="4" t="s">
        <v>28</v>
      </c>
      <c r="E105" s="4" t="s">
        <v>29</v>
      </c>
      <c r="F105" s="5" t="n">
        <v>49155</v>
      </c>
      <c r="G105" s="3" t="n">
        <v>9</v>
      </c>
      <c r="H105" s="3" t="n">
        <v>2</v>
      </c>
      <c r="I105" s="3" t="n">
        <v>3</v>
      </c>
      <c r="J105" s="3" t="n">
        <v>6.6</v>
      </c>
      <c r="K105" s="3" t="s">
        <v>18</v>
      </c>
      <c r="L105" s="3" t="s">
        <v>18</v>
      </c>
      <c r="M105" s="6" t="n">
        <v>0</v>
      </c>
    </row>
    <row r="106" customFormat="false" ht="15" hidden="false" customHeight="false" outlineLevel="0" collapsed="false">
      <c r="A106" s="3" t="s">
        <v>155</v>
      </c>
      <c r="B106" s="3" t="n">
        <v>28</v>
      </c>
      <c r="C106" s="3" t="s">
        <v>20</v>
      </c>
      <c r="D106" s="4" t="s">
        <v>31</v>
      </c>
      <c r="E106" s="4" t="s">
        <v>87</v>
      </c>
      <c r="F106" s="5" t="n">
        <v>59646</v>
      </c>
      <c r="G106" s="3" t="n">
        <v>7</v>
      </c>
      <c r="H106" s="3" t="n">
        <v>5</v>
      </c>
      <c r="I106" s="3" t="n">
        <v>4</v>
      </c>
      <c r="J106" s="3" t="n">
        <v>8.4</v>
      </c>
      <c r="K106" s="3" t="s">
        <v>23</v>
      </c>
      <c r="L106" s="3" t="s">
        <v>18</v>
      </c>
      <c r="M106" s="6" t="n">
        <v>0</v>
      </c>
    </row>
    <row r="107" customFormat="false" ht="15" hidden="false" customHeight="false" outlineLevel="0" collapsed="false">
      <c r="A107" s="3" t="s">
        <v>156</v>
      </c>
      <c r="B107" s="3" t="n">
        <v>25</v>
      </c>
      <c r="C107" s="3" t="s">
        <v>15</v>
      </c>
      <c r="D107" s="4" t="s">
        <v>25</v>
      </c>
      <c r="E107" s="4" t="s">
        <v>39</v>
      </c>
      <c r="F107" s="5" t="n">
        <v>35615</v>
      </c>
      <c r="G107" s="3" t="n">
        <v>1</v>
      </c>
      <c r="H107" s="3" t="n">
        <v>3</v>
      </c>
      <c r="I107" s="3" t="n">
        <v>1</v>
      </c>
      <c r="J107" s="3" t="n">
        <v>7.1</v>
      </c>
      <c r="K107" s="3" t="s">
        <v>18</v>
      </c>
      <c r="L107" s="3" t="s">
        <v>23</v>
      </c>
      <c r="M107" s="6" t="n">
        <v>1</v>
      </c>
    </row>
    <row r="108" customFormat="false" ht="15" hidden="false" customHeight="false" outlineLevel="0" collapsed="false">
      <c r="A108" s="3" t="s">
        <v>157</v>
      </c>
      <c r="B108" s="3" t="n">
        <v>30</v>
      </c>
      <c r="C108" s="3" t="s">
        <v>20</v>
      </c>
      <c r="D108" s="4" t="s">
        <v>61</v>
      </c>
      <c r="E108" s="4" t="s">
        <v>85</v>
      </c>
      <c r="F108" s="5" t="n">
        <v>63530</v>
      </c>
      <c r="G108" s="3" t="n">
        <v>9</v>
      </c>
      <c r="H108" s="3" t="n">
        <v>4</v>
      </c>
      <c r="I108" s="3" t="n">
        <v>3</v>
      </c>
      <c r="J108" s="3" t="n">
        <v>5.5</v>
      </c>
      <c r="K108" s="3" t="s">
        <v>18</v>
      </c>
      <c r="L108" s="3" t="s">
        <v>18</v>
      </c>
      <c r="M108" s="6" t="n">
        <v>0</v>
      </c>
    </row>
    <row r="109" customFormat="false" ht="15" hidden="false" customHeight="false" outlineLevel="0" collapsed="false">
      <c r="A109" s="3" t="s">
        <v>158</v>
      </c>
      <c r="B109" s="3" t="n">
        <v>54</v>
      </c>
      <c r="C109" s="3" t="s">
        <v>15</v>
      </c>
      <c r="D109" s="4" t="s">
        <v>45</v>
      </c>
      <c r="E109" s="4" t="s">
        <v>52</v>
      </c>
      <c r="F109" s="5" t="n">
        <v>119150</v>
      </c>
      <c r="G109" s="3" t="n">
        <v>22</v>
      </c>
      <c r="H109" s="3" t="n">
        <v>1</v>
      </c>
      <c r="I109" s="3" t="n">
        <v>1</v>
      </c>
      <c r="J109" s="3" t="n">
        <v>6.5</v>
      </c>
      <c r="K109" s="3" t="s">
        <v>18</v>
      </c>
      <c r="L109" s="3" t="s">
        <v>18</v>
      </c>
      <c r="M109" s="6" t="n">
        <v>0</v>
      </c>
    </row>
    <row r="110" customFormat="false" ht="15" hidden="false" customHeight="false" outlineLevel="0" collapsed="false">
      <c r="A110" s="3" t="s">
        <v>159</v>
      </c>
      <c r="B110" s="3" t="n">
        <v>40</v>
      </c>
      <c r="C110" s="3" t="s">
        <v>20</v>
      </c>
      <c r="D110" s="4" t="s">
        <v>45</v>
      </c>
      <c r="E110" s="4" t="s">
        <v>52</v>
      </c>
      <c r="F110" s="5" t="n">
        <v>90042</v>
      </c>
      <c r="G110" s="3" t="n">
        <v>14</v>
      </c>
      <c r="H110" s="3" t="n">
        <v>4</v>
      </c>
      <c r="I110" s="3" t="n">
        <v>2</v>
      </c>
      <c r="J110" s="3" t="n">
        <v>3.1</v>
      </c>
      <c r="K110" s="3" t="s">
        <v>18</v>
      </c>
      <c r="L110" s="3" t="s">
        <v>18</v>
      </c>
      <c r="M110" s="6" t="n">
        <v>0</v>
      </c>
    </row>
    <row r="111" customFormat="false" ht="15" hidden="false" customHeight="false" outlineLevel="0" collapsed="false">
      <c r="A111" s="3" t="s">
        <v>160</v>
      </c>
      <c r="B111" s="3" t="n">
        <v>30</v>
      </c>
      <c r="C111" s="3" t="s">
        <v>15</v>
      </c>
      <c r="D111" s="4" t="s">
        <v>61</v>
      </c>
      <c r="E111" s="4" t="s">
        <v>62</v>
      </c>
      <c r="F111" s="5" t="n">
        <v>48123</v>
      </c>
      <c r="G111" s="3" t="n">
        <v>3</v>
      </c>
      <c r="H111" s="3" t="n">
        <v>4</v>
      </c>
      <c r="I111" s="3" t="n">
        <v>4</v>
      </c>
      <c r="J111" s="3" t="n">
        <v>7.7</v>
      </c>
      <c r="K111" s="3" t="s">
        <v>23</v>
      </c>
      <c r="L111" s="3" t="s">
        <v>18</v>
      </c>
      <c r="M111" s="6" t="n">
        <v>0</v>
      </c>
    </row>
    <row r="112" customFormat="false" ht="15" hidden="false" customHeight="false" outlineLevel="0" collapsed="false">
      <c r="A112" s="3" t="s">
        <v>161</v>
      </c>
      <c r="B112" s="3" t="n">
        <v>24</v>
      </c>
      <c r="C112" s="3" t="s">
        <v>20</v>
      </c>
      <c r="D112" s="4" t="s">
        <v>25</v>
      </c>
      <c r="E112" s="4" t="s">
        <v>26</v>
      </c>
      <c r="F112" s="5" t="n">
        <v>39752</v>
      </c>
      <c r="G112" s="3" t="n">
        <v>1</v>
      </c>
      <c r="H112" s="3" t="n">
        <v>1</v>
      </c>
      <c r="I112" s="3" t="n">
        <v>3</v>
      </c>
      <c r="J112" s="3" t="n">
        <v>9.5</v>
      </c>
      <c r="K112" s="3" t="s">
        <v>23</v>
      </c>
      <c r="L112" s="3" t="s">
        <v>23</v>
      </c>
      <c r="M112" s="6" t="n">
        <v>1</v>
      </c>
    </row>
    <row r="113" customFormat="false" ht="15" hidden="false" customHeight="false" outlineLevel="0" collapsed="false">
      <c r="A113" s="3" t="s">
        <v>162</v>
      </c>
      <c r="B113" s="3" t="n">
        <v>28</v>
      </c>
      <c r="C113" s="3" t="s">
        <v>20</v>
      </c>
      <c r="D113" s="4" t="s">
        <v>31</v>
      </c>
      <c r="E113" s="4" t="s">
        <v>56</v>
      </c>
      <c r="F113" s="5" t="n">
        <v>51270</v>
      </c>
      <c r="G113" s="3" t="n">
        <v>3</v>
      </c>
      <c r="H113" s="3" t="n">
        <v>2</v>
      </c>
      <c r="I113" s="3" t="n">
        <v>2</v>
      </c>
      <c r="J113" s="3" t="n">
        <v>9.7</v>
      </c>
      <c r="K113" s="3" t="s">
        <v>23</v>
      </c>
      <c r="L113" s="3" t="s">
        <v>23</v>
      </c>
      <c r="M113" s="6" t="n">
        <v>1</v>
      </c>
    </row>
    <row r="114" customFormat="false" ht="15" hidden="false" customHeight="false" outlineLevel="0" collapsed="false">
      <c r="A114" s="3" t="s">
        <v>163</v>
      </c>
      <c r="B114" s="3" t="n">
        <v>49</v>
      </c>
      <c r="C114" s="3" t="s">
        <v>15</v>
      </c>
      <c r="D114" s="4" t="s">
        <v>28</v>
      </c>
      <c r="E114" s="4" t="s">
        <v>83</v>
      </c>
      <c r="F114" s="5" t="n">
        <v>73561</v>
      </c>
      <c r="G114" s="3" t="n">
        <v>23</v>
      </c>
      <c r="H114" s="3" t="n">
        <v>2</v>
      </c>
      <c r="I114" s="3" t="n">
        <v>2</v>
      </c>
      <c r="J114" s="3" t="n">
        <v>5.1</v>
      </c>
      <c r="K114" s="3" t="s">
        <v>23</v>
      </c>
      <c r="L114" s="3" t="s">
        <v>23</v>
      </c>
      <c r="M114" s="6" t="n">
        <v>1</v>
      </c>
    </row>
    <row r="115" customFormat="false" ht="15" hidden="false" customHeight="false" outlineLevel="0" collapsed="false">
      <c r="A115" s="3" t="s">
        <v>164</v>
      </c>
      <c r="B115" s="3" t="n">
        <v>27</v>
      </c>
      <c r="C115" s="3" t="s">
        <v>15</v>
      </c>
      <c r="D115" s="4" t="s">
        <v>61</v>
      </c>
      <c r="E115" s="4" t="s">
        <v>85</v>
      </c>
      <c r="F115" s="5" t="n">
        <v>52360</v>
      </c>
      <c r="G115" s="3" t="n">
        <v>3</v>
      </c>
      <c r="H115" s="3" t="n">
        <v>5</v>
      </c>
      <c r="I115" s="3" t="n">
        <v>2</v>
      </c>
      <c r="J115" s="3" t="n">
        <v>8</v>
      </c>
      <c r="K115" s="3" t="s">
        <v>18</v>
      </c>
      <c r="L115" s="3" t="s">
        <v>18</v>
      </c>
      <c r="M115" s="6" t="n">
        <v>0</v>
      </c>
    </row>
    <row r="116" customFormat="false" ht="15" hidden="false" customHeight="false" outlineLevel="0" collapsed="false">
      <c r="A116" s="3" t="s">
        <v>165</v>
      </c>
      <c r="B116" s="3" t="n">
        <v>25</v>
      </c>
      <c r="C116" s="3" t="s">
        <v>15</v>
      </c>
      <c r="D116" s="4" t="s">
        <v>45</v>
      </c>
      <c r="E116" s="4" t="s">
        <v>66</v>
      </c>
      <c r="F116" s="5" t="n">
        <v>65318</v>
      </c>
      <c r="G116" s="3" t="n">
        <v>4</v>
      </c>
      <c r="H116" s="3" t="n">
        <v>2</v>
      </c>
      <c r="I116" s="3" t="n">
        <v>2</v>
      </c>
      <c r="J116" s="3" t="n">
        <v>8.2</v>
      </c>
      <c r="K116" s="3" t="s">
        <v>18</v>
      </c>
      <c r="L116" s="3" t="s">
        <v>18</v>
      </c>
      <c r="M116" s="6" t="n">
        <v>0</v>
      </c>
    </row>
    <row r="117" customFormat="false" ht="15" hidden="false" customHeight="false" outlineLevel="0" collapsed="false">
      <c r="A117" s="3" t="s">
        <v>166</v>
      </c>
      <c r="B117" s="3" t="n">
        <v>37</v>
      </c>
      <c r="C117" s="3" t="s">
        <v>20</v>
      </c>
      <c r="D117" s="4" t="s">
        <v>61</v>
      </c>
      <c r="E117" s="4" t="s">
        <v>89</v>
      </c>
      <c r="F117" s="5" t="n">
        <v>82634</v>
      </c>
      <c r="G117" s="3" t="n">
        <v>15</v>
      </c>
      <c r="H117" s="3" t="n">
        <v>4</v>
      </c>
      <c r="I117" s="3" t="n">
        <v>2</v>
      </c>
      <c r="J117" s="3" t="n">
        <v>3</v>
      </c>
      <c r="K117" s="3" t="s">
        <v>18</v>
      </c>
      <c r="L117" s="3" t="s">
        <v>23</v>
      </c>
      <c r="M117" s="6" t="n">
        <v>1</v>
      </c>
    </row>
    <row r="118" customFormat="false" ht="15" hidden="false" customHeight="false" outlineLevel="0" collapsed="false">
      <c r="A118" s="3" t="s">
        <v>167</v>
      </c>
      <c r="B118" s="3" t="n">
        <v>55</v>
      </c>
      <c r="C118" s="3" t="s">
        <v>15</v>
      </c>
      <c r="D118" s="4" t="s">
        <v>16</v>
      </c>
      <c r="E118" s="4" t="s">
        <v>64</v>
      </c>
      <c r="F118" s="5" t="n">
        <v>123531</v>
      </c>
      <c r="G118" s="3" t="n">
        <v>17</v>
      </c>
      <c r="H118" s="3" t="n">
        <v>1</v>
      </c>
      <c r="I118" s="3" t="n">
        <v>4</v>
      </c>
      <c r="J118" s="3" t="n">
        <v>8.3</v>
      </c>
      <c r="K118" s="3" t="s">
        <v>18</v>
      </c>
      <c r="L118" s="3" t="s">
        <v>18</v>
      </c>
      <c r="M118" s="6" t="n">
        <v>0</v>
      </c>
    </row>
    <row r="119" customFormat="false" ht="15" hidden="false" customHeight="false" outlineLevel="0" collapsed="false">
      <c r="A119" s="3" t="s">
        <v>168</v>
      </c>
      <c r="B119" s="3" t="n">
        <v>52</v>
      </c>
      <c r="C119" s="3" t="s">
        <v>20</v>
      </c>
      <c r="D119" s="4" t="s">
        <v>45</v>
      </c>
      <c r="E119" s="4" t="s">
        <v>66</v>
      </c>
      <c r="F119" s="5" t="n">
        <v>109030</v>
      </c>
      <c r="G119" s="3" t="n">
        <v>17</v>
      </c>
      <c r="H119" s="3" t="n">
        <v>1</v>
      </c>
      <c r="I119" s="3" t="n">
        <v>4</v>
      </c>
      <c r="J119" s="3" t="n">
        <v>6.1</v>
      </c>
      <c r="K119" s="3" t="s">
        <v>23</v>
      </c>
      <c r="L119" s="3" t="s">
        <v>18</v>
      </c>
      <c r="M119" s="6" t="n">
        <v>0</v>
      </c>
    </row>
    <row r="120" customFormat="false" ht="15" hidden="false" customHeight="false" outlineLevel="0" collapsed="false">
      <c r="A120" s="3" t="s">
        <v>169</v>
      </c>
      <c r="B120" s="3" t="n">
        <v>45</v>
      </c>
      <c r="C120" s="3" t="s">
        <v>15</v>
      </c>
      <c r="D120" s="4" t="s">
        <v>31</v>
      </c>
      <c r="E120" s="4" t="s">
        <v>87</v>
      </c>
      <c r="F120" s="5" t="n">
        <v>46589</v>
      </c>
      <c r="G120" s="3" t="n">
        <v>3</v>
      </c>
      <c r="H120" s="3" t="n">
        <v>5</v>
      </c>
      <c r="I120" s="3" t="n">
        <v>4</v>
      </c>
      <c r="J120" s="3" t="n">
        <v>9.4</v>
      </c>
      <c r="K120" s="3" t="s">
        <v>18</v>
      </c>
      <c r="L120" s="3" t="s">
        <v>18</v>
      </c>
      <c r="M120" s="6" t="n">
        <v>0</v>
      </c>
    </row>
    <row r="121" customFormat="false" ht="15" hidden="false" customHeight="false" outlineLevel="0" collapsed="false">
      <c r="A121" s="3" t="s">
        <v>170</v>
      </c>
      <c r="B121" s="3" t="n">
        <v>40</v>
      </c>
      <c r="C121" s="3" t="s">
        <v>20</v>
      </c>
      <c r="D121" s="4" t="s">
        <v>16</v>
      </c>
      <c r="E121" s="4" t="s">
        <v>34</v>
      </c>
      <c r="F121" s="5" t="n">
        <v>102599</v>
      </c>
      <c r="G121" s="3" t="n">
        <v>16</v>
      </c>
      <c r="H121" s="3" t="n">
        <v>3</v>
      </c>
      <c r="I121" s="3" t="n">
        <v>4</v>
      </c>
      <c r="J121" s="3" t="n">
        <v>5.2</v>
      </c>
      <c r="K121" s="3" t="s">
        <v>18</v>
      </c>
      <c r="L121" s="3" t="s">
        <v>18</v>
      </c>
      <c r="M121" s="6" t="n">
        <v>0</v>
      </c>
    </row>
    <row r="122" customFormat="false" ht="15" hidden="false" customHeight="false" outlineLevel="0" collapsed="false">
      <c r="A122" s="3" t="s">
        <v>171</v>
      </c>
      <c r="B122" s="3" t="n">
        <v>54</v>
      </c>
      <c r="C122" s="3" t="s">
        <v>15</v>
      </c>
      <c r="D122" s="4" t="s">
        <v>16</v>
      </c>
      <c r="E122" s="4" t="s">
        <v>34</v>
      </c>
      <c r="F122" s="5" t="n">
        <v>69343</v>
      </c>
      <c r="G122" s="3" t="n">
        <v>2</v>
      </c>
      <c r="H122" s="3" t="n">
        <v>3</v>
      </c>
      <c r="I122" s="3" t="n">
        <v>2</v>
      </c>
      <c r="J122" s="3" t="n">
        <v>6.7</v>
      </c>
      <c r="K122" s="3" t="s">
        <v>23</v>
      </c>
      <c r="L122" s="3" t="s">
        <v>18</v>
      </c>
      <c r="M122" s="6" t="n">
        <v>0</v>
      </c>
    </row>
    <row r="123" customFormat="false" ht="15" hidden="false" customHeight="false" outlineLevel="0" collapsed="false">
      <c r="A123" s="3" t="s">
        <v>172</v>
      </c>
      <c r="B123" s="3" t="n">
        <v>26</v>
      </c>
      <c r="C123" s="3" t="s">
        <v>15</v>
      </c>
      <c r="D123" s="4" t="s">
        <v>61</v>
      </c>
      <c r="E123" s="4" t="s">
        <v>85</v>
      </c>
      <c r="F123" s="5" t="n">
        <v>62323</v>
      </c>
      <c r="G123" s="3" t="n">
        <v>5</v>
      </c>
      <c r="H123" s="3" t="n">
        <v>5</v>
      </c>
      <c r="I123" s="3" t="n">
        <v>4</v>
      </c>
      <c r="J123" s="3" t="n">
        <v>6.4</v>
      </c>
      <c r="K123" s="3" t="s">
        <v>18</v>
      </c>
      <c r="L123" s="3" t="s">
        <v>18</v>
      </c>
      <c r="M123" s="6" t="n">
        <v>0</v>
      </c>
    </row>
    <row r="124" customFormat="false" ht="15" hidden="false" customHeight="false" outlineLevel="0" collapsed="false">
      <c r="A124" s="3" t="s">
        <v>173</v>
      </c>
      <c r="B124" s="3" t="n">
        <v>49</v>
      </c>
      <c r="C124" s="3" t="s">
        <v>20</v>
      </c>
      <c r="D124" s="4" t="s">
        <v>45</v>
      </c>
      <c r="E124" s="4" t="s">
        <v>52</v>
      </c>
      <c r="F124" s="5" t="n">
        <v>84003</v>
      </c>
      <c r="G124" s="3" t="n">
        <v>7</v>
      </c>
      <c r="H124" s="3" t="n">
        <v>2</v>
      </c>
      <c r="I124" s="3" t="n">
        <v>3</v>
      </c>
      <c r="J124" s="3" t="n">
        <v>7.5</v>
      </c>
      <c r="K124" s="3" t="s">
        <v>18</v>
      </c>
      <c r="L124" s="3" t="s">
        <v>18</v>
      </c>
      <c r="M124" s="6" t="n">
        <v>0</v>
      </c>
    </row>
    <row r="125" customFormat="false" ht="15" hidden="false" customHeight="false" outlineLevel="0" collapsed="false">
      <c r="A125" s="3" t="s">
        <v>174</v>
      </c>
      <c r="B125" s="3" t="n">
        <v>31</v>
      </c>
      <c r="C125" s="3" t="s">
        <v>15</v>
      </c>
      <c r="D125" s="4" t="s">
        <v>28</v>
      </c>
      <c r="E125" s="4" t="s">
        <v>48</v>
      </c>
      <c r="F125" s="5" t="n">
        <v>49272</v>
      </c>
      <c r="G125" s="3" t="n">
        <v>6</v>
      </c>
      <c r="H125" s="3" t="n">
        <v>5</v>
      </c>
      <c r="I125" s="3" t="n">
        <v>2</v>
      </c>
      <c r="J125" s="3" t="n">
        <v>9.6</v>
      </c>
      <c r="K125" s="3" t="s">
        <v>18</v>
      </c>
      <c r="L125" s="3" t="s">
        <v>18</v>
      </c>
      <c r="M125" s="6" t="n">
        <v>0</v>
      </c>
    </row>
    <row r="126" customFormat="false" ht="15" hidden="false" customHeight="false" outlineLevel="0" collapsed="false">
      <c r="A126" s="3" t="s">
        <v>175</v>
      </c>
      <c r="B126" s="3" t="n">
        <v>51</v>
      </c>
      <c r="C126" s="3" t="s">
        <v>15</v>
      </c>
      <c r="D126" s="4" t="s">
        <v>16</v>
      </c>
      <c r="E126" s="4" t="s">
        <v>34</v>
      </c>
      <c r="F126" s="5" t="n">
        <v>93769</v>
      </c>
      <c r="G126" s="3" t="n">
        <v>7</v>
      </c>
      <c r="H126" s="3" t="n">
        <v>4</v>
      </c>
      <c r="I126" s="3" t="n">
        <v>1</v>
      </c>
      <c r="J126" s="3" t="n">
        <v>8.8</v>
      </c>
      <c r="K126" s="3" t="s">
        <v>18</v>
      </c>
      <c r="L126" s="3" t="s">
        <v>23</v>
      </c>
      <c r="M126" s="6" t="n">
        <v>1</v>
      </c>
    </row>
    <row r="127" customFormat="false" ht="15" hidden="false" customHeight="false" outlineLevel="0" collapsed="false">
      <c r="A127" s="3" t="s">
        <v>176</v>
      </c>
      <c r="B127" s="3" t="n">
        <v>28</v>
      </c>
      <c r="C127" s="3" t="s">
        <v>15</v>
      </c>
      <c r="D127" s="4" t="s">
        <v>45</v>
      </c>
      <c r="E127" s="4" t="s">
        <v>66</v>
      </c>
      <c r="F127" s="5" t="n">
        <v>67381</v>
      </c>
      <c r="G127" s="3" t="n">
        <v>2</v>
      </c>
      <c r="H127" s="3" t="n">
        <v>4</v>
      </c>
      <c r="I127" s="3" t="n">
        <v>1</v>
      </c>
      <c r="J127" s="3" t="n">
        <v>5.3</v>
      </c>
      <c r="K127" s="3" t="s">
        <v>18</v>
      </c>
      <c r="L127" s="3" t="s">
        <v>18</v>
      </c>
      <c r="M127" s="6" t="n">
        <v>0</v>
      </c>
    </row>
    <row r="128" customFormat="false" ht="15" hidden="false" customHeight="false" outlineLevel="0" collapsed="false">
      <c r="A128" s="3" t="s">
        <v>177</v>
      </c>
      <c r="B128" s="3" t="n">
        <v>41</v>
      </c>
      <c r="C128" s="3" t="s">
        <v>20</v>
      </c>
      <c r="D128" s="4" t="s">
        <v>25</v>
      </c>
      <c r="E128" s="4" t="s">
        <v>54</v>
      </c>
      <c r="F128" s="5" t="n">
        <v>52757</v>
      </c>
      <c r="G128" s="3" t="n">
        <v>15</v>
      </c>
      <c r="H128" s="3" t="n">
        <v>4</v>
      </c>
      <c r="I128" s="3" t="n">
        <v>3</v>
      </c>
      <c r="J128" s="3" t="n">
        <v>9.2</v>
      </c>
      <c r="K128" s="3" t="s">
        <v>23</v>
      </c>
      <c r="L128" s="3" t="s">
        <v>18</v>
      </c>
      <c r="M128" s="6" t="n">
        <v>0</v>
      </c>
    </row>
    <row r="129" customFormat="false" ht="15" hidden="false" customHeight="false" outlineLevel="0" collapsed="false">
      <c r="A129" s="3" t="s">
        <v>178</v>
      </c>
      <c r="B129" s="3" t="n">
        <v>23</v>
      </c>
      <c r="C129" s="3" t="s">
        <v>15</v>
      </c>
      <c r="D129" s="4" t="s">
        <v>45</v>
      </c>
      <c r="E129" s="4" t="s">
        <v>66</v>
      </c>
      <c r="F129" s="5" t="n">
        <v>68109</v>
      </c>
      <c r="G129" s="3" t="n">
        <v>1</v>
      </c>
      <c r="H129" s="3" t="n">
        <v>5</v>
      </c>
      <c r="I129" s="3" t="n">
        <v>2</v>
      </c>
      <c r="J129" s="3" t="n">
        <v>7.9</v>
      </c>
      <c r="K129" s="3" t="s">
        <v>23</v>
      </c>
      <c r="L129" s="3" t="s">
        <v>18</v>
      </c>
      <c r="M129" s="6" t="n">
        <v>0</v>
      </c>
    </row>
    <row r="130" customFormat="false" ht="15" hidden="false" customHeight="false" outlineLevel="0" collapsed="false">
      <c r="A130" s="3" t="s">
        <v>179</v>
      </c>
      <c r="B130" s="3" t="n">
        <v>33</v>
      </c>
      <c r="C130" s="3" t="s">
        <v>15</v>
      </c>
      <c r="D130" s="4" t="s">
        <v>45</v>
      </c>
      <c r="E130" s="4" t="s">
        <v>66</v>
      </c>
      <c r="F130" s="5" t="n">
        <v>59362</v>
      </c>
      <c r="G130" s="3" t="n">
        <v>3</v>
      </c>
      <c r="H130" s="3" t="n">
        <v>2</v>
      </c>
      <c r="I130" s="3" t="n">
        <v>4</v>
      </c>
      <c r="J130" s="3" t="n">
        <v>7.7</v>
      </c>
      <c r="K130" s="3" t="s">
        <v>18</v>
      </c>
      <c r="L130" s="3" t="s">
        <v>18</v>
      </c>
      <c r="M130" s="6" t="n">
        <v>0</v>
      </c>
    </row>
    <row r="131" customFormat="false" ht="15" hidden="false" customHeight="false" outlineLevel="0" collapsed="false">
      <c r="A131" s="3" t="s">
        <v>180</v>
      </c>
      <c r="B131" s="3" t="n">
        <v>53</v>
      </c>
      <c r="C131" s="3" t="s">
        <v>15</v>
      </c>
      <c r="D131" s="4" t="s">
        <v>16</v>
      </c>
      <c r="E131" s="4" t="s">
        <v>64</v>
      </c>
      <c r="F131" s="5" t="n">
        <v>125635</v>
      </c>
      <c r="G131" s="3" t="n">
        <v>19</v>
      </c>
      <c r="H131" s="3" t="n">
        <v>4</v>
      </c>
      <c r="I131" s="3" t="n">
        <v>4</v>
      </c>
      <c r="J131" s="3" t="n">
        <v>8.8</v>
      </c>
      <c r="K131" s="3" t="s">
        <v>18</v>
      </c>
      <c r="L131" s="3" t="s">
        <v>18</v>
      </c>
      <c r="M131" s="6" t="n">
        <v>0</v>
      </c>
    </row>
    <row r="132" customFormat="false" ht="15" hidden="false" customHeight="false" outlineLevel="0" collapsed="false">
      <c r="A132" s="3" t="s">
        <v>181</v>
      </c>
      <c r="B132" s="3" t="n">
        <v>33</v>
      </c>
      <c r="C132" s="3" t="s">
        <v>20</v>
      </c>
      <c r="D132" s="4" t="s">
        <v>41</v>
      </c>
      <c r="E132" s="4" t="s">
        <v>140</v>
      </c>
      <c r="F132" s="5" t="n">
        <v>42790</v>
      </c>
      <c r="G132" s="3" t="n">
        <v>9</v>
      </c>
      <c r="H132" s="3" t="n">
        <v>2</v>
      </c>
      <c r="I132" s="3" t="n">
        <v>1</v>
      </c>
      <c r="J132" s="3" t="n">
        <v>6.9</v>
      </c>
      <c r="K132" s="3" t="s">
        <v>23</v>
      </c>
      <c r="L132" s="3" t="s">
        <v>18</v>
      </c>
      <c r="M132" s="6" t="n">
        <v>0</v>
      </c>
    </row>
    <row r="133" customFormat="false" ht="15" hidden="false" customHeight="false" outlineLevel="0" collapsed="false">
      <c r="A133" s="3" t="s">
        <v>182</v>
      </c>
      <c r="B133" s="3" t="n">
        <v>33</v>
      </c>
      <c r="C133" s="3" t="s">
        <v>15</v>
      </c>
      <c r="D133" s="4" t="s">
        <v>41</v>
      </c>
      <c r="E133" s="4" t="s">
        <v>140</v>
      </c>
      <c r="F133" s="5" t="n">
        <v>42081</v>
      </c>
      <c r="G133" s="3" t="n">
        <v>5</v>
      </c>
      <c r="H133" s="3" t="n">
        <v>4</v>
      </c>
      <c r="I133" s="3" t="n">
        <v>3</v>
      </c>
      <c r="J133" s="3" t="n">
        <v>8.6</v>
      </c>
      <c r="K133" s="3" t="s">
        <v>18</v>
      </c>
      <c r="L133" s="3" t="s">
        <v>18</v>
      </c>
      <c r="M133" s="6" t="n">
        <v>0</v>
      </c>
    </row>
    <row r="134" customFormat="false" ht="15" hidden="false" customHeight="false" outlineLevel="0" collapsed="false">
      <c r="A134" s="3" t="s">
        <v>183</v>
      </c>
      <c r="B134" s="3" t="n">
        <v>34</v>
      </c>
      <c r="C134" s="3" t="s">
        <v>20</v>
      </c>
      <c r="D134" s="4" t="s">
        <v>41</v>
      </c>
      <c r="E134" s="4" t="s">
        <v>74</v>
      </c>
      <c r="F134" s="5" t="n">
        <v>47371</v>
      </c>
      <c r="G134" s="3" t="n">
        <v>11</v>
      </c>
      <c r="H134" s="3" t="n">
        <v>3</v>
      </c>
      <c r="I134" s="3" t="n">
        <v>3</v>
      </c>
      <c r="J134" s="3" t="n">
        <v>3.6</v>
      </c>
      <c r="K134" s="3" t="s">
        <v>18</v>
      </c>
      <c r="L134" s="3" t="s">
        <v>18</v>
      </c>
      <c r="M134" s="6" t="n">
        <v>0</v>
      </c>
    </row>
    <row r="135" customFormat="false" ht="15" hidden="false" customHeight="false" outlineLevel="0" collapsed="false">
      <c r="A135" s="3" t="s">
        <v>184</v>
      </c>
      <c r="B135" s="3" t="n">
        <v>31</v>
      </c>
      <c r="C135" s="3" t="s">
        <v>15</v>
      </c>
      <c r="D135" s="4" t="s">
        <v>21</v>
      </c>
      <c r="E135" s="4" t="s">
        <v>22</v>
      </c>
      <c r="F135" s="5" t="n">
        <v>103775</v>
      </c>
      <c r="G135" s="3" t="n">
        <v>9</v>
      </c>
      <c r="H135" s="3" t="n">
        <v>3</v>
      </c>
      <c r="I135" s="3" t="n">
        <v>4</v>
      </c>
      <c r="J135" s="3" t="n">
        <v>3.8</v>
      </c>
      <c r="K135" s="3" t="s">
        <v>23</v>
      </c>
      <c r="L135" s="3" t="s">
        <v>18</v>
      </c>
      <c r="M135" s="6" t="n">
        <v>0</v>
      </c>
    </row>
    <row r="136" customFormat="false" ht="15" hidden="false" customHeight="false" outlineLevel="0" collapsed="false">
      <c r="A136" s="3" t="s">
        <v>185</v>
      </c>
      <c r="B136" s="3" t="n">
        <v>40</v>
      </c>
      <c r="C136" s="3" t="s">
        <v>15</v>
      </c>
      <c r="D136" s="4" t="s">
        <v>25</v>
      </c>
      <c r="E136" s="4" t="s">
        <v>26</v>
      </c>
      <c r="F136" s="5" t="n">
        <v>60978</v>
      </c>
      <c r="G136" s="3" t="n">
        <v>16</v>
      </c>
      <c r="H136" s="3" t="n">
        <v>2</v>
      </c>
      <c r="I136" s="3" t="n">
        <v>1</v>
      </c>
      <c r="J136" s="3" t="n">
        <v>4.1</v>
      </c>
      <c r="K136" s="3" t="s">
        <v>18</v>
      </c>
      <c r="L136" s="3" t="s">
        <v>18</v>
      </c>
      <c r="M136" s="6" t="n">
        <v>0</v>
      </c>
    </row>
    <row r="137" customFormat="false" ht="15" hidden="false" customHeight="false" outlineLevel="0" collapsed="false">
      <c r="A137" s="3" t="s">
        <v>186</v>
      </c>
      <c r="B137" s="3" t="n">
        <v>38</v>
      </c>
      <c r="C137" s="3" t="s">
        <v>15</v>
      </c>
      <c r="D137" s="4" t="s">
        <v>45</v>
      </c>
      <c r="E137" s="4" t="s">
        <v>52</v>
      </c>
      <c r="F137" s="5" t="n">
        <v>70091</v>
      </c>
      <c r="G137" s="3" t="n">
        <v>7</v>
      </c>
      <c r="H137" s="3" t="n">
        <v>4</v>
      </c>
      <c r="I137" s="3" t="n">
        <v>1</v>
      </c>
      <c r="J137" s="3" t="n">
        <v>8.5</v>
      </c>
      <c r="K137" s="3" t="s">
        <v>18</v>
      </c>
      <c r="L137" s="3" t="s">
        <v>18</v>
      </c>
      <c r="M137" s="6" t="n">
        <v>0</v>
      </c>
    </row>
    <row r="138" customFormat="false" ht="15" hidden="false" customHeight="false" outlineLevel="0" collapsed="false">
      <c r="A138" s="3" t="s">
        <v>187</v>
      </c>
      <c r="B138" s="3" t="n">
        <v>43</v>
      </c>
      <c r="C138" s="3" t="s">
        <v>15</v>
      </c>
      <c r="D138" s="4" t="s">
        <v>21</v>
      </c>
      <c r="E138" s="4" t="s">
        <v>22</v>
      </c>
      <c r="F138" s="5" t="n">
        <v>95052</v>
      </c>
      <c r="G138" s="3" t="n">
        <v>11</v>
      </c>
      <c r="H138" s="3" t="n">
        <v>4</v>
      </c>
      <c r="I138" s="3" t="n">
        <v>2</v>
      </c>
      <c r="J138" s="3" t="n">
        <v>7.4</v>
      </c>
      <c r="K138" s="3" t="s">
        <v>18</v>
      </c>
      <c r="L138" s="3" t="s">
        <v>18</v>
      </c>
      <c r="M138" s="6" t="n">
        <v>0</v>
      </c>
    </row>
    <row r="139" customFormat="false" ht="15" hidden="false" customHeight="false" outlineLevel="0" collapsed="false">
      <c r="A139" s="3" t="s">
        <v>188</v>
      </c>
      <c r="B139" s="3" t="n">
        <v>42</v>
      </c>
      <c r="C139" s="3" t="s">
        <v>15</v>
      </c>
      <c r="D139" s="4" t="s">
        <v>16</v>
      </c>
      <c r="E139" s="4" t="s">
        <v>34</v>
      </c>
      <c r="F139" s="5" t="n">
        <v>90856</v>
      </c>
      <c r="G139" s="3" t="n">
        <v>14</v>
      </c>
      <c r="H139" s="3" t="n">
        <v>5</v>
      </c>
      <c r="I139" s="3" t="n">
        <v>4</v>
      </c>
      <c r="J139" s="3" t="n">
        <v>7.9</v>
      </c>
      <c r="K139" s="3" t="s">
        <v>18</v>
      </c>
      <c r="L139" s="3" t="s">
        <v>18</v>
      </c>
      <c r="M139" s="6" t="n">
        <v>0</v>
      </c>
    </row>
    <row r="140" customFormat="false" ht="15" hidden="false" customHeight="false" outlineLevel="0" collapsed="false">
      <c r="A140" s="3" t="s">
        <v>189</v>
      </c>
      <c r="B140" s="3" t="n">
        <v>39</v>
      </c>
      <c r="C140" s="3" t="s">
        <v>20</v>
      </c>
      <c r="D140" s="4" t="s">
        <v>16</v>
      </c>
      <c r="E140" s="4" t="s">
        <v>68</v>
      </c>
      <c r="F140" s="5" t="n">
        <v>85001</v>
      </c>
      <c r="G140" s="3" t="n">
        <v>7</v>
      </c>
      <c r="H140" s="3" t="n">
        <v>4</v>
      </c>
      <c r="I140" s="3" t="n">
        <v>4</v>
      </c>
      <c r="J140" s="3" t="n">
        <v>5.8</v>
      </c>
      <c r="K140" s="3" t="s">
        <v>23</v>
      </c>
      <c r="L140" s="3" t="s">
        <v>18</v>
      </c>
      <c r="M140" s="6" t="n">
        <v>0</v>
      </c>
    </row>
    <row r="141" customFormat="false" ht="15" hidden="false" customHeight="false" outlineLevel="0" collapsed="false">
      <c r="A141" s="3" t="s">
        <v>190</v>
      </c>
      <c r="B141" s="3" t="n">
        <v>35</v>
      </c>
      <c r="C141" s="3" t="s">
        <v>15</v>
      </c>
      <c r="D141" s="4" t="s">
        <v>25</v>
      </c>
      <c r="E141" s="4" t="s">
        <v>39</v>
      </c>
      <c r="F141" s="5" t="n">
        <v>56400</v>
      </c>
      <c r="G141" s="3" t="n">
        <v>11</v>
      </c>
      <c r="H141" s="3" t="n">
        <v>2</v>
      </c>
      <c r="I141" s="3" t="n">
        <v>2</v>
      </c>
      <c r="J141" s="3" t="n">
        <v>4.4</v>
      </c>
      <c r="K141" s="3" t="s">
        <v>18</v>
      </c>
      <c r="L141" s="3" t="s">
        <v>18</v>
      </c>
      <c r="M141" s="6" t="n">
        <v>0</v>
      </c>
    </row>
    <row r="142" customFormat="false" ht="15" hidden="false" customHeight="false" outlineLevel="0" collapsed="false">
      <c r="A142" s="3" t="s">
        <v>191</v>
      </c>
      <c r="B142" s="3" t="n">
        <v>40</v>
      </c>
      <c r="C142" s="3" t="s">
        <v>15</v>
      </c>
      <c r="D142" s="4" t="s">
        <v>25</v>
      </c>
      <c r="E142" s="4" t="s">
        <v>26</v>
      </c>
      <c r="F142" s="5" t="n">
        <v>48115</v>
      </c>
      <c r="G142" s="3" t="n">
        <v>9</v>
      </c>
      <c r="H142" s="3" t="n">
        <v>3</v>
      </c>
      <c r="I142" s="3" t="n">
        <v>2</v>
      </c>
      <c r="J142" s="3" t="n">
        <v>5.9</v>
      </c>
      <c r="K142" s="3" t="s">
        <v>18</v>
      </c>
      <c r="L142" s="3" t="s">
        <v>18</v>
      </c>
      <c r="M142" s="6" t="n">
        <v>0</v>
      </c>
    </row>
    <row r="143" customFormat="false" ht="15" hidden="false" customHeight="false" outlineLevel="0" collapsed="false">
      <c r="A143" s="3" t="s">
        <v>192</v>
      </c>
      <c r="B143" s="3" t="n">
        <v>29</v>
      </c>
      <c r="C143" s="3" t="s">
        <v>15</v>
      </c>
      <c r="D143" s="4" t="s">
        <v>16</v>
      </c>
      <c r="E143" s="4" t="s">
        <v>17</v>
      </c>
      <c r="F143" s="5" t="n">
        <v>77247</v>
      </c>
      <c r="G143" s="3" t="n">
        <v>7</v>
      </c>
      <c r="H143" s="3" t="n">
        <v>1</v>
      </c>
      <c r="I143" s="3" t="n">
        <v>2</v>
      </c>
      <c r="J143" s="3" t="n">
        <v>3.8</v>
      </c>
      <c r="K143" s="3" t="s">
        <v>18</v>
      </c>
      <c r="L143" s="3" t="s">
        <v>23</v>
      </c>
      <c r="M143" s="6" t="n">
        <v>1</v>
      </c>
    </row>
    <row r="144" customFormat="false" ht="15" hidden="false" customHeight="false" outlineLevel="0" collapsed="false">
      <c r="A144" s="3" t="s">
        <v>193</v>
      </c>
      <c r="B144" s="3" t="n">
        <v>50</v>
      </c>
      <c r="C144" s="3" t="s">
        <v>15</v>
      </c>
      <c r="D144" s="4" t="s">
        <v>61</v>
      </c>
      <c r="E144" s="4" t="s">
        <v>85</v>
      </c>
      <c r="F144" s="5" t="n">
        <v>56376</v>
      </c>
      <c r="G144" s="3" t="n">
        <v>2</v>
      </c>
      <c r="H144" s="3" t="n">
        <v>3</v>
      </c>
      <c r="I144" s="3" t="n">
        <v>1</v>
      </c>
      <c r="J144" s="3" t="n">
        <v>7.1</v>
      </c>
      <c r="K144" s="3" t="s">
        <v>23</v>
      </c>
      <c r="L144" s="3" t="s">
        <v>18</v>
      </c>
      <c r="M144" s="6" t="n">
        <v>0</v>
      </c>
    </row>
    <row r="145" customFormat="false" ht="15" hidden="false" customHeight="false" outlineLevel="0" collapsed="false">
      <c r="A145" s="3" t="s">
        <v>194</v>
      </c>
      <c r="B145" s="3" t="n">
        <v>52</v>
      </c>
      <c r="C145" s="3" t="s">
        <v>15</v>
      </c>
      <c r="D145" s="4" t="s">
        <v>28</v>
      </c>
      <c r="E145" s="4" t="s">
        <v>29</v>
      </c>
      <c r="F145" s="5" t="n">
        <v>47080</v>
      </c>
      <c r="G145" s="3" t="n">
        <v>3</v>
      </c>
      <c r="H145" s="3" t="n">
        <v>2</v>
      </c>
      <c r="I145" s="3" t="n">
        <v>1</v>
      </c>
      <c r="J145" s="3" t="n">
        <v>4.9</v>
      </c>
      <c r="K145" s="3" t="s">
        <v>23</v>
      </c>
      <c r="L145" s="3" t="s">
        <v>23</v>
      </c>
      <c r="M145" s="6" t="n">
        <v>1</v>
      </c>
    </row>
    <row r="146" customFormat="false" ht="15" hidden="false" customHeight="false" outlineLevel="0" collapsed="false">
      <c r="A146" s="3" t="s">
        <v>195</v>
      </c>
      <c r="B146" s="3" t="n">
        <v>28</v>
      </c>
      <c r="C146" s="3" t="s">
        <v>15</v>
      </c>
      <c r="D146" s="4" t="s">
        <v>21</v>
      </c>
      <c r="E146" s="4" t="s">
        <v>36</v>
      </c>
      <c r="F146" s="5" t="n">
        <v>85066</v>
      </c>
      <c r="G146" s="3" t="n">
        <v>5</v>
      </c>
      <c r="H146" s="3" t="n">
        <v>5</v>
      </c>
      <c r="I146" s="3" t="n">
        <v>1</v>
      </c>
      <c r="J146" s="3" t="n">
        <v>9.3</v>
      </c>
      <c r="K146" s="3" t="s">
        <v>23</v>
      </c>
      <c r="L146" s="3" t="s">
        <v>18</v>
      </c>
      <c r="M146" s="6" t="n">
        <v>0</v>
      </c>
    </row>
    <row r="147" customFormat="false" ht="15" hidden="false" customHeight="false" outlineLevel="0" collapsed="false">
      <c r="A147" s="3" t="s">
        <v>196</v>
      </c>
      <c r="B147" s="3" t="n">
        <v>26</v>
      </c>
      <c r="C147" s="3" t="s">
        <v>20</v>
      </c>
      <c r="D147" s="4" t="s">
        <v>45</v>
      </c>
      <c r="E147" s="4" t="s">
        <v>52</v>
      </c>
      <c r="F147" s="5" t="n">
        <v>66317</v>
      </c>
      <c r="G147" s="3" t="n">
        <v>2</v>
      </c>
      <c r="H147" s="3" t="n">
        <v>4</v>
      </c>
      <c r="I147" s="3" t="n">
        <v>4</v>
      </c>
      <c r="J147" s="3" t="n">
        <v>7.7</v>
      </c>
      <c r="K147" s="3" t="s">
        <v>18</v>
      </c>
      <c r="L147" s="3" t="s">
        <v>18</v>
      </c>
      <c r="M147" s="6" t="n">
        <v>0</v>
      </c>
    </row>
    <row r="148" customFormat="false" ht="15" hidden="false" customHeight="false" outlineLevel="0" collapsed="false">
      <c r="A148" s="3" t="s">
        <v>197</v>
      </c>
      <c r="B148" s="3" t="n">
        <v>30</v>
      </c>
      <c r="C148" s="3" t="s">
        <v>20</v>
      </c>
      <c r="D148" s="4" t="s">
        <v>45</v>
      </c>
      <c r="E148" s="4" t="s">
        <v>66</v>
      </c>
      <c r="F148" s="5" t="n">
        <v>78337</v>
      </c>
      <c r="G148" s="3" t="n">
        <v>6</v>
      </c>
      <c r="H148" s="3" t="n">
        <v>4</v>
      </c>
      <c r="I148" s="3" t="n">
        <v>1</v>
      </c>
      <c r="J148" s="3" t="n">
        <v>5.3</v>
      </c>
      <c r="K148" s="3" t="s">
        <v>23</v>
      </c>
      <c r="L148" s="3" t="s">
        <v>18</v>
      </c>
      <c r="M148" s="6" t="n">
        <v>0</v>
      </c>
    </row>
    <row r="149" customFormat="false" ht="15" hidden="false" customHeight="false" outlineLevel="0" collapsed="false">
      <c r="A149" s="3" t="s">
        <v>198</v>
      </c>
      <c r="B149" s="3" t="n">
        <v>35</v>
      </c>
      <c r="C149" s="3" t="s">
        <v>20</v>
      </c>
      <c r="D149" s="4" t="s">
        <v>21</v>
      </c>
      <c r="E149" s="4" t="s">
        <v>36</v>
      </c>
      <c r="F149" s="5" t="n">
        <v>84502</v>
      </c>
      <c r="G149" s="3" t="n">
        <v>2</v>
      </c>
      <c r="H149" s="3" t="n">
        <v>4</v>
      </c>
      <c r="I149" s="3" t="n">
        <v>4</v>
      </c>
      <c r="J149" s="3" t="n">
        <v>9.3</v>
      </c>
      <c r="K149" s="3" t="s">
        <v>18</v>
      </c>
      <c r="L149" s="3" t="s">
        <v>18</v>
      </c>
      <c r="M149" s="6" t="n">
        <v>0</v>
      </c>
    </row>
    <row r="150" customFormat="false" ht="15" hidden="false" customHeight="false" outlineLevel="0" collapsed="false">
      <c r="A150" s="3" t="s">
        <v>199</v>
      </c>
      <c r="B150" s="3" t="n">
        <v>43</v>
      </c>
      <c r="C150" s="3" t="s">
        <v>15</v>
      </c>
      <c r="D150" s="4" t="s">
        <v>25</v>
      </c>
      <c r="E150" s="4" t="s">
        <v>26</v>
      </c>
      <c r="F150" s="5" t="n">
        <v>57270</v>
      </c>
      <c r="G150" s="3" t="n">
        <v>11</v>
      </c>
      <c r="H150" s="3" t="n">
        <v>2</v>
      </c>
      <c r="I150" s="3" t="n">
        <v>2</v>
      </c>
      <c r="J150" s="3" t="n">
        <v>9.4</v>
      </c>
      <c r="K150" s="3" t="s">
        <v>18</v>
      </c>
      <c r="L150" s="3" t="s">
        <v>18</v>
      </c>
      <c r="M150" s="6" t="n">
        <v>0</v>
      </c>
    </row>
    <row r="151" customFormat="false" ht="15" hidden="false" customHeight="false" outlineLevel="0" collapsed="false">
      <c r="A151" s="3" t="s">
        <v>200</v>
      </c>
      <c r="B151" s="3" t="n">
        <v>46</v>
      </c>
      <c r="C151" s="3" t="s">
        <v>15</v>
      </c>
      <c r="D151" s="4" t="s">
        <v>21</v>
      </c>
      <c r="E151" s="4" t="s">
        <v>22</v>
      </c>
      <c r="F151" s="5" t="n">
        <v>129321</v>
      </c>
      <c r="G151" s="3" t="n">
        <v>25</v>
      </c>
      <c r="H151" s="3" t="n">
        <v>2</v>
      </c>
      <c r="I151" s="3" t="n">
        <v>2</v>
      </c>
      <c r="J151" s="3" t="n">
        <v>6.7</v>
      </c>
      <c r="K151" s="3" t="s">
        <v>18</v>
      </c>
      <c r="L151" s="3" t="s">
        <v>18</v>
      </c>
      <c r="M151" s="6" t="n">
        <v>0</v>
      </c>
    </row>
    <row r="152" customFormat="false" ht="15" hidden="false" customHeight="false" outlineLevel="0" collapsed="false">
      <c r="A152" s="3" t="s">
        <v>201</v>
      </c>
      <c r="B152" s="3" t="n">
        <v>46</v>
      </c>
      <c r="C152" s="3" t="s">
        <v>15</v>
      </c>
      <c r="D152" s="4" t="s">
        <v>41</v>
      </c>
      <c r="E152" s="4" t="s">
        <v>74</v>
      </c>
      <c r="F152" s="5" t="n">
        <v>54682</v>
      </c>
      <c r="G152" s="3" t="n">
        <v>22</v>
      </c>
      <c r="H152" s="3" t="n">
        <v>5</v>
      </c>
      <c r="I152" s="3" t="n">
        <v>1</v>
      </c>
      <c r="J152" s="3" t="n">
        <v>6.6</v>
      </c>
      <c r="K152" s="3" t="s">
        <v>23</v>
      </c>
      <c r="L152" s="3" t="s">
        <v>23</v>
      </c>
      <c r="M152" s="6" t="n">
        <v>1</v>
      </c>
    </row>
    <row r="153" customFormat="false" ht="15" hidden="false" customHeight="false" outlineLevel="0" collapsed="false">
      <c r="A153" s="3" t="s">
        <v>202</v>
      </c>
      <c r="B153" s="3" t="n">
        <v>33</v>
      </c>
      <c r="C153" s="3" t="s">
        <v>20</v>
      </c>
      <c r="D153" s="4" t="s">
        <v>61</v>
      </c>
      <c r="E153" s="4" t="s">
        <v>89</v>
      </c>
      <c r="F153" s="5" t="n">
        <v>70793</v>
      </c>
      <c r="G153" s="3" t="n">
        <v>10</v>
      </c>
      <c r="H153" s="3" t="n">
        <v>5</v>
      </c>
      <c r="I153" s="3" t="n">
        <v>4</v>
      </c>
      <c r="J153" s="3" t="n">
        <v>4</v>
      </c>
      <c r="K153" s="3" t="s">
        <v>23</v>
      </c>
      <c r="L153" s="3" t="s">
        <v>18</v>
      </c>
      <c r="M153" s="6" t="n">
        <v>0</v>
      </c>
    </row>
    <row r="154" customFormat="false" ht="15" hidden="false" customHeight="false" outlineLevel="0" collapsed="false">
      <c r="A154" s="3" t="s">
        <v>203</v>
      </c>
      <c r="B154" s="3" t="n">
        <v>43</v>
      </c>
      <c r="C154" s="3" t="s">
        <v>15</v>
      </c>
      <c r="D154" s="4" t="s">
        <v>16</v>
      </c>
      <c r="E154" s="4" t="s">
        <v>34</v>
      </c>
      <c r="F154" s="5" t="n">
        <v>124812</v>
      </c>
      <c r="G154" s="3" t="n">
        <v>18</v>
      </c>
      <c r="H154" s="3" t="n">
        <v>3</v>
      </c>
      <c r="I154" s="3" t="n">
        <v>4</v>
      </c>
      <c r="J154" s="3" t="n">
        <v>8.2</v>
      </c>
      <c r="K154" s="3" t="s">
        <v>18</v>
      </c>
      <c r="L154" s="3" t="s">
        <v>18</v>
      </c>
      <c r="M154" s="6" t="n">
        <v>0</v>
      </c>
    </row>
    <row r="155" customFormat="false" ht="15" hidden="false" customHeight="false" outlineLevel="0" collapsed="false">
      <c r="A155" s="3" t="s">
        <v>204</v>
      </c>
      <c r="B155" s="3" t="n">
        <v>55</v>
      </c>
      <c r="C155" s="3" t="s">
        <v>15</v>
      </c>
      <c r="D155" s="4" t="s">
        <v>61</v>
      </c>
      <c r="E155" s="4" t="s">
        <v>85</v>
      </c>
      <c r="F155" s="5" t="n">
        <v>54561</v>
      </c>
      <c r="G155" s="3" t="n">
        <v>5</v>
      </c>
      <c r="H155" s="3" t="n">
        <v>4</v>
      </c>
      <c r="I155" s="3" t="n">
        <v>2</v>
      </c>
      <c r="J155" s="3" t="n">
        <v>5.4</v>
      </c>
      <c r="K155" s="3" t="s">
        <v>23</v>
      </c>
      <c r="L155" s="3" t="s">
        <v>18</v>
      </c>
      <c r="M155" s="6" t="n">
        <v>0</v>
      </c>
    </row>
    <row r="156" customFormat="false" ht="15" hidden="false" customHeight="false" outlineLevel="0" collapsed="false">
      <c r="A156" s="3" t="s">
        <v>205</v>
      </c>
      <c r="B156" s="3" t="n">
        <v>44</v>
      </c>
      <c r="C156" s="3" t="s">
        <v>20</v>
      </c>
      <c r="D156" s="4" t="s">
        <v>16</v>
      </c>
      <c r="E156" s="4" t="s">
        <v>34</v>
      </c>
      <c r="F156" s="5" t="n">
        <v>107641</v>
      </c>
      <c r="G156" s="3" t="n">
        <v>16</v>
      </c>
      <c r="H156" s="3" t="n">
        <v>1</v>
      </c>
      <c r="I156" s="3" t="n">
        <v>1</v>
      </c>
      <c r="J156" s="3" t="n">
        <v>7.5</v>
      </c>
      <c r="K156" s="3" t="s">
        <v>18</v>
      </c>
      <c r="L156" s="3" t="s">
        <v>23</v>
      </c>
      <c r="M156" s="6" t="n">
        <v>1</v>
      </c>
    </row>
    <row r="157" customFormat="false" ht="15" hidden="false" customHeight="false" outlineLevel="0" collapsed="false">
      <c r="A157" s="3" t="s">
        <v>206</v>
      </c>
      <c r="B157" s="3" t="n">
        <v>50</v>
      </c>
      <c r="C157" s="3" t="s">
        <v>15</v>
      </c>
      <c r="D157" s="4" t="s">
        <v>41</v>
      </c>
      <c r="E157" s="4" t="s">
        <v>140</v>
      </c>
      <c r="F157" s="5" t="n">
        <v>38981</v>
      </c>
      <c r="G157" s="3" t="n">
        <v>4</v>
      </c>
      <c r="H157" s="3" t="n">
        <v>5</v>
      </c>
      <c r="I157" s="3" t="n">
        <v>4</v>
      </c>
      <c r="J157" s="3" t="n">
        <v>9.6</v>
      </c>
      <c r="K157" s="3" t="s">
        <v>18</v>
      </c>
      <c r="L157" s="3" t="s">
        <v>18</v>
      </c>
      <c r="M157" s="6" t="n">
        <v>0</v>
      </c>
    </row>
    <row r="158" customFormat="false" ht="15" hidden="false" customHeight="false" outlineLevel="0" collapsed="false">
      <c r="A158" s="3" t="s">
        <v>207</v>
      </c>
      <c r="B158" s="3" t="n">
        <v>34</v>
      </c>
      <c r="C158" s="3" t="s">
        <v>15</v>
      </c>
      <c r="D158" s="4" t="s">
        <v>21</v>
      </c>
      <c r="E158" s="4" t="s">
        <v>36</v>
      </c>
      <c r="F158" s="5" t="n">
        <v>119800</v>
      </c>
      <c r="G158" s="3" t="n">
        <v>12</v>
      </c>
      <c r="H158" s="3" t="n">
        <v>2</v>
      </c>
      <c r="I158" s="3" t="n">
        <v>2</v>
      </c>
      <c r="J158" s="3" t="n">
        <v>4.3</v>
      </c>
      <c r="K158" s="3" t="s">
        <v>23</v>
      </c>
      <c r="L158" s="3" t="s">
        <v>18</v>
      </c>
      <c r="M158" s="6" t="n">
        <v>0</v>
      </c>
    </row>
    <row r="159" customFormat="false" ht="15" hidden="false" customHeight="false" outlineLevel="0" collapsed="false">
      <c r="A159" s="3" t="s">
        <v>208</v>
      </c>
      <c r="B159" s="3" t="n">
        <v>35</v>
      </c>
      <c r="C159" s="3" t="s">
        <v>20</v>
      </c>
      <c r="D159" s="4" t="s">
        <v>25</v>
      </c>
      <c r="E159" s="4" t="s">
        <v>26</v>
      </c>
      <c r="F159" s="5" t="n">
        <v>39337</v>
      </c>
      <c r="G159" s="3" t="n">
        <v>3</v>
      </c>
      <c r="H159" s="3" t="n">
        <v>2</v>
      </c>
      <c r="I159" s="3" t="n">
        <v>1</v>
      </c>
      <c r="J159" s="3" t="n">
        <v>4.6</v>
      </c>
      <c r="K159" s="3" t="s">
        <v>18</v>
      </c>
      <c r="L159" s="3" t="s">
        <v>18</v>
      </c>
      <c r="M159" s="6" t="n">
        <v>0</v>
      </c>
    </row>
    <row r="160" customFormat="false" ht="15" hidden="false" customHeight="false" outlineLevel="0" collapsed="false">
      <c r="A160" s="3" t="s">
        <v>209</v>
      </c>
      <c r="B160" s="3" t="n">
        <v>41</v>
      </c>
      <c r="C160" s="3" t="s">
        <v>15</v>
      </c>
      <c r="D160" s="4" t="s">
        <v>61</v>
      </c>
      <c r="E160" s="4" t="s">
        <v>62</v>
      </c>
      <c r="F160" s="5" t="n">
        <v>65914</v>
      </c>
      <c r="G160" s="3" t="n">
        <v>12</v>
      </c>
      <c r="H160" s="3" t="n">
        <v>3</v>
      </c>
      <c r="I160" s="3" t="n">
        <v>1</v>
      </c>
      <c r="J160" s="3" t="n">
        <v>7.5</v>
      </c>
      <c r="K160" s="3" t="s">
        <v>18</v>
      </c>
      <c r="L160" s="3" t="s">
        <v>18</v>
      </c>
      <c r="M160" s="6" t="n">
        <v>0</v>
      </c>
    </row>
    <row r="161" customFormat="false" ht="15" hidden="false" customHeight="false" outlineLevel="0" collapsed="false">
      <c r="A161" s="3" t="s">
        <v>210</v>
      </c>
      <c r="B161" s="3" t="n">
        <v>23</v>
      </c>
      <c r="C161" s="3" t="s">
        <v>15</v>
      </c>
      <c r="D161" s="4" t="s">
        <v>28</v>
      </c>
      <c r="E161" s="4" t="s">
        <v>29</v>
      </c>
      <c r="F161" s="5" t="n">
        <v>38549</v>
      </c>
      <c r="G161" s="3" t="n">
        <v>1</v>
      </c>
      <c r="H161" s="3" t="n">
        <v>4</v>
      </c>
      <c r="I161" s="3" t="n">
        <v>1</v>
      </c>
      <c r="J161" s="3" t="n">
        <v>6.6</v>
      </c>
      <c r="K161" s="3" t="s">
        <v>18</v>
      </c>
      <c r="L161" s="3" t="s">
        <v>18</v>
      </c>
      <c r="M161" s="6" t="n">
        <v>0</v>
      </c>
    </row>
    <row r="162" customFormat="false" ht="15" hidden="false" customHeight="false" outlineLevel="0" collapsed="false">
      <c r="A162" s="3" t="s">
        <v>211</v>
      </c>
      <c r="B162" s="3" t="n">
        <v>41</v>
      </c>
      <c r="C162" s="3" t="s">
        <v>20</v>
      </c>
      <c r="D162" s="4" t="s">
        <v>41</v>
      </c>
      <c r="E162" s="4" t="s">
        <v>74</v>
      </c>
      <c r="F162" s="5" t="n">
        <v>49896</v>
      </c>
      <c r="G162" s="3" t="n">
        <v>15</v>
      </c>
      <c r="H162" s="3" t="n">
        <v>4</v>
      </c>
      <c r="I162" s="3" t="n">
        <v>2</v>
      </c>
      <c r="J162" s="3" t="n">
        <v>4</v>
      </c>
      <c r="K162" s="3" t="s">
        <v>18</v>
      </c>
      <c r="L162" s="3" t="s">
        <v>18</v>
      </c>
      <c r="M162" s="6" t="n">
        <v>0</v>
      </c>
    </row>
    <row r="163" customFormat="false" ht="15" hidden="false" customHeight="false" outlineLevel="0" collapsed="false">
      <c r="A163" s="3" t="s">
        <v>212</v>
      </c>
      <c r="B163" s="3" t="n">
        <v>33</v>
      </c>
      <c r="C163" s="3" t="s">
        <v>15</v>
      </c>
      <c r="D163" s="4" t="s">
        <v>28</v>
      </c>
      <c r="E163" s="4" t="s">
        <v>48</v>
      </c>
      <c r="F163" s="5" t="n">
        <v>41872</v>
      </c>
      <c r="G163" s="3" t="n">
        <v>5</v>
      </c>
      <c r="H163" s="3" t="n">
        <v>3</v>
      </c>
      <c r="I163" s="3" t="n">
        <v>4</v>
      </c>
      <c r="J163" s="3" t="n">
        <v>4.4</v>
      </c>
      <c r="K163" s="3" t="s">
        <v>18</v>
      </c>
      <c r="L163" s="3" t="s">
        <v>18</v>
      </c>
      <c r="M163" s="6" t="n">
        <v>0</v>
      </c>
    </row>
    <row r="164" customFormat="false" ht="15" hidden="false" customHeight="false" outlineLevel="0" collapsed="false">
      <c r="A164" s="3" t="s">
        <v>213</v>
      </c>
      <c r="B164" s="3" t="n">
        <v>22</v>
      </c>
      <c r="C164" s="3" t="s">
        <v>15</v>
      </c>
      <c r="D164" s="4" t="s">
        <v>61</v>
      </c>
      <c r="E164" s="4" t="s">
        <v>62</v>
      </c>
      <c r="F164" s="5" t="n">
        <v>46439</v>
      </c>
      <c r="G164" s="3" t="n">
        <v>1</v>
      </c>
      <c r="H164" s="3" t="n">
        <v>1</v>
      </c>
      <c r="I164" s="3" t="n">
        <v>2</v>
      </c>
      <c r="J164" s="3" t="n">
        <v>6.3</v>
      </c>
      <c r="K164" s="3" t="s">
        <v>23</v>
      </c>
      <c r="L164" s="3" t="s">
        <v>18</v>
      </c>
      <c r="M164" s="6" t="n">
        <v>0</v>
      </c>
    </row>
    <row r="165" customFormat="false" ht="15" hidden="false" customHeight="false" outlineLevel="0" collapsed="false">
      <c r="A165" s="3" t="s">
        <v>214</v>
      </c>
      <c r="B165" s="3" t="n">
        <v>32</v>
      </c>
      <c r="C165" s="3" t="s">
        <v>20</v>
      </c>
      <c r="D165" s="4" t="s">
        <v>61</v>
      </c>
      <c r="E165" s="4" t="s">
        <v>89</v>
      </c>
      <c r="F165" s="5" t="n">
        <v>70472</v>
      </c>
      <c r="G165" s="3" t="n">
        <v>8</v>
      </c>
      <c r="H165" s="3" t="n">
        <v>4</v>
      </c>
      <c r="I165" s="3" t="n">
        <v>3</v>
      </c>
      <c r="J165" s="3" t="n">
        <v>4.8</v>
      </c>
      <c r="K165" s="3" t="s">
        <v>23</v>
      </c>
      <c r="L165" s="3" t="s">
        <v>23</v>
      </c>
      <c r="M165" s="6" t="n">
        <v>1</v>
      </c>
    </row>
    <row r="166" customFormat="false" ht="15" hidden="false" customHeight="false" outlineLevel="0" collapsed="false">
      <c r="A166" s="3" t="s">
        <v>215</v>
      </c>
      <c r="B166" s="3" t="n">
        <v>24</v>
      </c>
      <c r="C166" s="3" t="s">
        <v>15</v>
      </c>
      <c r="D166" s="4" t="s">
        <v>16</v>
      </c>
      <c r="E166" s="4" t="s">
        <v>17</v>
      </c>
      <c r="F166" s="5" t="n">
        <v>75572</v>
      </c>
      <c r="G166" s="3" t="n">
        <v>3</v>
      </c>
      <c r="H166" s="3" t="n">
        <v>4</v>
      </c>
      <c r="I166" s="3" t="n">
        <v>4</v>
      </c>
      <c r="J166" s="3" t="n">
        <v>6.8</v>
      </c>
      <c r="K166" s="3" t="s">
        <v>18</v>
      </c>
      <c r="L166" s="3" t="s">
        <v>18</v>
      </c>
      <c r="M166" s="6" t="n">
        <v>0</v>
      </c>
    </row>
    <row r="167" customFormat="false" ht="15" hidden="false" customHeight="false" outlineLevel="0" collapsed="false">
      <c r="A167" s="3" t="s">
        <v>216</v>
      </c>
      <c r="B167" s="3" t="n">
        <v>55</v>
      </c>
      <c r="C167" s="3" t="s">
        <v>15</v>
      </c>
      <c r="D167" s="4" t="s">
        <v>61</v>
      </c>
      <c r="E167" s="4" t="s">
        <v>85</v>
      </c>
      <c r="F167" s="5" t="n">
        <v>67234</v>
      </c>
      <c r="G167" s="3" t="n">
        <v>8</v>
      </c>
      <c r="H167" s="3" t="n">
        <v>2</v>
      </c>
      <c r="I167" s="3" t="n">
        <v>2</v>
      </c>
      <c r="J167" s="3" t="n">
        <v>8.9</v>
      </c>
      <c r="K167" s="3" t="s">
        <v>23</v>
      </c>
      <c r="L167" s="3" t="s">
        <v>18</v>
      </c>
      <c r="M167" s="6" t="n">
        <v>0</v>
      </c>
    </row>
    <row r="168" customFormat="false" ht="15" hidden="false" customHeight="false" outlineLevel="0" collapsed="false">
      <c r="A168" s="3" t="s">
        <v>217</v>
      </c>
      <c r="B168" s="3" t="n">
        <v>23</v>
      </c>
      <c r="C168" s="3" t="s">
        <v>15</v>
      </c>
      <c r="D168" s="4" t="s">
        <v>21</v>
      </c>
      <c r="E168" s="4" t="s">
        <v>22</v>
      </c>
      <c r="F168" s="5" t="n">
        <v>84739</v>
      </c>
      <c r="G168" s="3" t="n">
        <v>2</v>
      </c>
      <c r="H168" s="3" t="n">
        <v>3</v>
      </c>
      <c r="I168" s="3" t="n">
        <v>2</v>
      </c>
      <c r="J168" s="3" t="n">
        <v>8.4</v>
      </c>
      <c r="K168" s="3" t="s">
        <v>23</v>
      </c>
      <c r="L168" s="3" t="s">
        <v>18</v>
      </c>
      <c r="M168" s="6" t="n">
        <v>0</v>
      </c>
    </row>
    <row r="169" customFormat="false" ht="15" hidden="false" customHeight="false" outlineLevel="0" collapsed="false">
      <c r="A169" s="3" t="s">
        <v>218</v>
      </c>
      <c r="B169" s="3" t="n">
        <v>32</v>
      </c>
      <c r="C169" s="3" t="s">
        <v>20</v>
      </c>
      <c r="D169" s="4" t="s">
        <v>41</v>
      </c>
      <c r="E169" s="4" t="s">
        <v>140</v>
      </c>
      <c r="F169" s="5" t="n">
        <v>41465</v>
      </c>
      <c r="G169" s="3" t="n">
        <v>6</v>
      </c>
      <c r="H169" s="3" t="n">
        <v>5</v>
      </c>
      <c r="I169" s="3" t="n">
        <v>2</v>
      </c>
      <c r="J169" s="3" t="n">
        <v>6.9</v>
      </c>
      <c r="K169" s="3" t="s">
        <v>23</v>
      </c>
      <c r="L169" s="3" t="s">
        <v>18</v>
      </c>
      <c r="M169" s="6" t="n">
        <v>0</v>
      </c>
    </row>
    <row r="170" customFormat="false" ht="15" hidden="false" customHeight="false" outlineLevel="0" collapsed="false">
      <c r="A170" s="3" t="s">
        <v>219</v>
      </c>
      <c r="B170" s="3" t="n">
        <v>27</v>
      </c>
      <c r="C170" s="3" t="s">
        <v>15</v>
      </c>
      <c r="D170" s="4" t="s">
        <v>45</v>
      </c>
      <c r="E170" s="4" t="s">
        <v>66</v>
      </c>
      <c r="F170" s="5" t="n">
        <v>76098</v>
      </c>
      <c r="G170" s="3" t="n">
        <v>4</v>
      </c>
      <c r="H170" s="3" t="n">
        <v>2</v>
      </c>
      <c r="I170" s="3" t="n">
        <v>3</v>
      </c>
      <c r="J170" s="3" t="n">
        <v>9.1</v>
      </c>
      <c r="K170" s="3" t="s">
        <v>18</v>
      </c>
      <c r="L170" s="3" t="s">
        <v>18</v>
      </c>
      <c r="M170" s="6" t="n">
        <v>0</v>
      </c>
    </row>
    <row r="171" customFormat="false" ht="15" hidden="false" customHeight="false" outlineLevel="0" collapsed="false">
      <c r="A171" s="3" t="s">
        <v>220</v>
      </c>
      <c r="B171" s="3" t="n">
        <v>42</v>
      </c>
      <c r="C171" s="3" t="s">
        <v>20</v>
      </c>
      <c r="D171" s="4" t="s">
        <v>61</v>
      </c>
      <c r="E171" s="4" t="s">
        <v>85</v>
      </c>
      <c r="F171" s="5" t="n">
        <v>82920</v>
      </c>
      <c r="G171" s="3" t="n">
        <v>19</v>
      </c>
      <c r="H171" s="3" t="n">
        <v>4</v>
      </c>
      <c r="I171" s="3" t="n">
        <v>2</v>
      </c>
      <c r="J171" s="3" t="n">
        <v>8.3</v>
      </c>
      <c r="K171" s="3" t="s">
        <v>23</v>
      </c>
      <c r="L171" s="3" t="s">
        <v>23</v>
      </c>
      <c r="M171" s="6" t="n">
        <v>1</v>
      </c>
    </row>
    <row r="172" customFormat="false" ht="15" hidden="false" customHeight="false" outlineLevel="0" collapsed="false">
      <c r="A172" s="3" t="s">
        <v>221</v>
      </c>
      <c r="B172" s="3" t="n">
        <v>51</v>
      </c>
      <c r="C172" s="3" t="s">
        <v>15</v>
      </c>
      <c r="D172" s="4" t="s">
        <v>45</v>
      </c>
      <c r="E172" s="4" t="s">
        <v>66</v>
      </c>
      <c r="F172" s="5" t="n">
        <v>80515</v>
      </c>
      <c r="G172" s="3" t="n">
        <v>6</v>
      </c>
      <c r="H172" s="3" t="n">
        <v>4</v>
      </c>
      <c r="I172" s="3" t="n">
        <v>1</v>
      </c>
      <c r="J172" s="3" t="n">
        <v>7.3</v>
      </c>
      <c r="K172" s="3" t="s">
        <v>18</v>
      </c>
      <c r="L172" s="3" t="s">
        <v>18</v>
      </c>
      <c r="M172" s="6" t="n">
        <v>0</v>
      </c>
    </row>
    <row r="173" customFormat="false" ht="15" hidden="false" customHeight="false" outlineLevel="0" collapsed="false">
      <c r="A173" s="3" t="s">
        <v>222</v>
      </c>
      <c r="B173" s="3" t="n">
        <v>31</v>
      </c>
      <c r="C173" s="3" t="s">
        <v>20</v>
      </c>
      <c r="D173" s="4" t="s">
        <v>16</v>
      </c>
      <c r="E173" s="4" t="s">
        <v>64</v>
      </c>
      <c r="F173" s="5" t="n">
        <v>80150</v>
      </c>
      <c r="G173" s="3" t="n">
        <v>8</v>
      </c>
      <c r="H173" s="3" t="n">
        <v>1</v>
      </c>
      <c r="I173" s="3" t="n">
        <v>3</v>
      </c>
      <c r="J173" s="3" t="n">
        <v>4.7</v>
      </c>
      <c r="K173" s="3" t="s">
        <v>23</v>
      </c>
      <c r="L173" s="3" t="s">
        <v>18</v>
      </c>
      <c r="M173" s="6" t="n">
        <v>0</v>
      </c>
    </row>
    <row r="174" customFormat="false" ht="15" hidden="false" customHeight="false" outlineLevel="0" collapsed="false">
      <c r="A174" s="3" t="s">
        <v>223</v>
      </c>
      <c r="B174" s="3" t="n">
        <v>27</v>
      </c>
      <c r="C174" s="3" t="s">
        <v>20</v>
      </c>
      <c r="D174" s="4" t="s">
        <v>21</v>
      </c>
      <c r="E174" s="4" t="s">
        <v>58</v>
      </c>
      <c r="F174" s="5" t="n">
        <v>89621</v>
      </c>
      <c r="G174" s="3" t="n">
        <v>5</v>
      </c>
      <c r="H174" s="3" t="n">
        <v>3</v>
      </c>
      <c r="I174" s="3" t="n">
        <v>1</v>
      </c>
      <c r="J174" s="3" t="n">
        <v>4.7</v>
      </c>
      <c r="K174" s="3" t="s">
        <v>23</v>
      </c>
      <c r="L174" s="3" t="s">
        <v>23</v>
      </c>
      <c r="M174" s="6" t="n">
        <v>1</v>
      </c>
    </row>
    <row r="175" customFormat="false" ht="15" hidden="false" customHeight="false" outlineLevel="0" collapsed="false">
      <c r="A175" s="3" t="s">
        <v>224</v>
      </c>
      <c r="B175" s="3" t="n">
        <v>42</v>
      </c>
      <c r="C175" s="3" t="s">
        <v>20</v>
      </c>
      <c r="D175" s="4" t="s">
        <v>21</v>
      </c>
      <c r="E175" s="4" t="s">
        <v>36</v>
      </c>
      <c r="F175" s="5" t="n">
        <v>93063</v>
      </c>
      <c r="G175" s="3" t="n">
        <v>7</v>
      </c>
      <c r="H175" s="3" t="n">
        <v>5</v>
      </c>
      <c r="I175" s="3" t="n">
        <v>1</v>
      </c>
      <c r="J175" s="3" t="n">
        <v>6.4</v>
      </c>
      <c r="K175" s="3" t="s">
        <v>18</v>
      </c>
      <c r="L175" s="3" t="s">
        <v>18</v>
      </c>
      <c r="M175" s="6" t="n">
        <v>0</v>
      </c>
    </row>
    <row r="176" customFormat="false" ht="15" hidden="false" customHeight="false" outlineLevel="0" collapsed="false">
      <c r="A176" s="3" t="s">
        <v>225</v>
      </c>
      <c r="B176" s="3" t="n">
        <v>44</v>
      </c>
      <c r="C176" s="3" t="s">
        <v>20</v>
      </c>
      <c r="D176" s="4" t="s">
        <v>25</v>
      </c>
      <c r="E176" s="4" t="s">
        <v>39</v>
      </c>
      <c r="F176" s="5" t="n">
        <v>40772</v>
      </c>
      <c r="G176" s="3" t="n">
        <v>7</v>
      </c>
      <c r="H176" s="3" t="n">
        <v>5</v>
      </c>
      <c r="I176" s="3" t="n">
        <v>1</v>
      </c>
      <c r="J176" s="3" t="n">
        <v>3.1</v>
      </c>
      <c r="K176" s="3" t="s">
        <v>18</v>
      </c>
      <c r="L176" s="3" t="s">
        <v>18</v>
      </c>
      <c r="M176" s="6" t="n">
        <v>0</v>
      </c>
    </row>
    <row r="177" customFormat="false" ht="15" hidden="false" customHeight="false" outlineLevel="0" collapsed="false">
      <c r="A177" s="3" t="s">
        <v>226</v>
      </c>
      <c r="B177" s="3" t="n">
        <v>41</v>
      </c>
      <c r="C177" s="3" t="s">
        <v>15</v>
      </c>
      <c r="D177" s="4" t="s">
        <v>61</v>
      </c>
      <c r="E177" s="4" t="s">
        <v>62</v>
      </c>
      <c r="F177" s="5" t="n">
        <v>68254</v>
      </c>
      <c r="G177" s="3" t="n">
        <v>8</v>
      </c>
      <c r="H177" s="3" t="n">
        <v>2</v>
      </c>
      <c r="I177" s="3" t="n">
        <v>3</v>
      </c>
      <c r="J177" s="3" t="n">
        <v>9.6</v>
      </c>
      <c r="K177" s="3" t="s">
        <v>23</v>
      </c>
      <c r="L177" s="3" t="s">
        <v>23</v>
      </c>
      <c r="M177" s="6" t="n">
        <v>1</v>
      </c>
    </row>
    <row r="178" customFormat="false" ht="15" hidden="false" customHeight="false" outlineLevel="0" collapsed="false">
      <c r="A178" s="3" t="s">
        <v>227</v>
      </c>
      <c r="B178" s="3" t="n">
        <v>47</v>
      </c>
      <c r="C178" s="3" t="s">
        <v>20</v>
      </c>
      <c r="D178" s="4" t="s">
        <v>25</v>
      </c>
      <c r="E178" s="4" t="s">
        <v>26</v>
      </c>
      <c r="F178" s="5" t="n">
        <v>60922</v>
      </c>
      <c r="G178" s="3" t="n">
        <v>21</v>
      </c>
      <c r="H178" s="3" t="n">
        <v>3</v>
      </c>
      <c r="I178" s="3" t="n">
        <v>1</v>
      </c>
      <c r="J178" s="3" t="n">
        <v>7.8</v>
      </c>
      <c r="K178" s="3" t="s">
        <v>18</v>
      </c>
      <c r="L178" s="3" t="s">
        <v>18</v>
      </c>
      <c r="M178" s="6" t="n">
        <v>0</v>
      </c>
    </row>
    <row r="179" customFormat="false" ht="15" hidden="false" customHeight="false" outlineLevel="0" collapsed="false">
      <c r="A179" s="3" t="s">
        <v>228</v>
      </c>
      <c r="B179" s="3" t="n">
        <v>23</v>
      </c>
      <c r="C179" s="3" t="s">
        <v>15</v>
      </c>
      <c r="D179" s="4" t="s">
        <v>45</v>
      </c>
      <c r="E179" s="4" t="s">
        <v>46</v>
      </c>
      <c r="F179" s="5" t="n">
        <v>69265</v>
      </c>
      <c r="G179" s="3" t="n">
        <v>2</v>
      </c>
      <c r="H179" s="3" t="n">
        <v>2</v>
      </c>
      <c r="I179" s="3" t="n">
        <v>1</v>
      </c>
      <c r="J179" s="3" t="n">
        <v>6.8</v>
      </c>
      <c r="K179" s="3" t="s">
        <v>18</v>
      </c>
      <c r="L179" s="3" t="s">
        <v>18</v>
      </c>
      <c r="M179" s="6" t="n">
        <v>0</v>
      </c>
    </row>
    <row r="180" customFormat="false" ht="15" hidden="false" customHeight="false" outlineLevel="0" collapsed="false">
      <c r="A180" s="3" t="s">
        <v>229</v>
      </c>
      <c r="B180" s="3" t="n">
        <v>30</v>
      </c>
      <c r="C180" s="3" t="s">
        <v>15</v>
      </c>
      <c r="D180" s="4" t="s">
        <v>61</v>
      </c>
      <c r="E180" s="4" t="s">
        <v>89</v>
      </c>
      <c r="F180" s="5" t="n">
        <v>53605</v>
      </c>
      <c r="G180" s="3" t="n">
        <v>3</v>
      </c>
      <c r="H180" s="3" t="n">
        <v>4</v>
      </c>
      <c r="I180" s="3" t="n">
        <v>4</v>
      </c>
      <c r="J180" s="3" t="n">
        <v>3.8</v>
      </c>
      <c r="K180" s="3" t="s">
        <v>18</v>
      </c>
      <c r="L180" s="3" t="s">
        <v>18</v>
      </c>
      <c r="M180" s="6" t="n">
        <v>0</v>
      </c>
    </row>
    <row r="181" customFormat="false" ht="15" hidden="false" customHeight="false" outlineLevel="0" collapsed="false">
      <c r="A181" s="3" t="s">
        <v>230</v>
      </c>
      <c r="B181" s="3" t="n">
        <v>37</v>
      </c>
      <c r="C181" s="3" t="s">
        <v>20</v>
      </c>
      <c r="D181" s="4" t="s">
        <v>41</v>
      </c>
      <c r="E181" s="4" t="s">
        <v>140</v>
      </c>
      <c r="F181" s="5" t="n">
        <v>43387</v>
      </c>
      <c r="G181" s="3" t="n">
        <v>6</v>
      </c>
      <c r="H181" s="3" t="n">
        <v>2</v>
      </c>
      <c r="I181" s="3" t="n">
        <v>4</v>
      </c>
      <c r="J181" s="3" t="n">
        <v>9.7</v>
      </c>
      <c r="K181" s="3" t="s">
        <v>18</v>
      </c>
      <c r="L181" s="3" t="s">
        <v>18</v>
      </c>
      <c r="M181" s="6" t="n">
        <v>0</v>
      </c>
    </row>
    <row r="182" customFormat="false" ht="15" hidden="false" customHeight="false" outlineLevel="0" collapsed="false">
      <c r="A182" s="3" t="s">
        <v>231</v>
      </c>
      <c r="B182" s="3" t="n">
        <v>29</v>
      </c>
      <c r="C182" s="3" t="s">
        <v>20</v>
      </c>
      <c r="D182" s="4" t="s">
        <v>16</v>
      </c>
      <c r="E182" s="4" t="s">
        <v>34</v>
      </c>
      <c r="F182" s="5" t="n">
        <v>75543</v>
      </c>
      <c r="G182" s="3" t="n">
        <v>2</v>
      </c>
      <c r="H182" s="3" t="n">
        <v>3</v>
      </c>
      <c r="I182" s="3" t="n">
        <v>1</v>
      </c>
      <c r="J182" s="3" t="n">
        <v>3.3</v>
      </c>
      <c r="K182" s="3" t="s">
        <v>18</v>
      </c>
      <c r="L182" s="3" t="s">
        <v>18</v>
      </c>
      <c r="M182" s="6" t="n">
        <v>0</v>
      </c>
    </row>
    <row r="183" customFormat="false" ht="15" hidden="false" customHeight="false" outlineLevel="0" collapsed="false">
      <c r="A183" s="3" t="s">
        <v>232</v>
      </c>
      <c r="B183" s="3" t="n">
        <v>33</v>
      </c>
      <c r="C183" s="3" t="s">
        <v>20</v>
      </c>
      <c r="D183" s="4" t="s">
        <v>45</v>
      </c>
      <c r="E183" s="4" t="s">
        <v>46</v>
      </c>
      <c r="F183" s="5" t="n">
        <v>64393</v>
      </c>
      <c r="G183" s="3" t="n">
        <v>3</v>
      </c>
      <c r="H183" s="3" t="n">
        <v>3</v>
      </c>
      <c r="I183" s="3" t="n">
        <v>2</v>
      </c>
      <c r="J183" s="3" t="n">
        <v>6.2</v>
      </c>
      <c r="K183" s="3" t="s">
        <v>18</v>
      </c>
      <c r="L183" s="3" t="s">
        <v>18</v>
      </c>
      <c r="M183" s="6" t="n">
        <v>0</v>
      </c>
    </row>
    <row r="184" customFormat="false" ht="15" hidden="false" customHeight="false" outlineLevel="0" collapsed="false">
      <c r="A184" s="3" t="s">
        <v>233</v>
      </c>
      <c r="B184" s="3" t="n">
        <v>48</v>
      </c>
      <c r="C184" s="3" t="s">
        <v>20</v>
      </c>
      <c r="D184" s="4" t="s">
        <v>16</v>
      </c>
      <c r="E184" s="4" t="s">
        <v>64</v>
      </c>
      <c r="F184" s="5" t="n">
        <v>76485</v>
      </c>
      <c r="G184" s="3" t="n">
        <v>2</v>
      </c>
      <c r="H184" s="3" t="n">
        <v>5</v>
      </c>
      <c r="I184" s="3" t="n">
        <v>2</v>
      </c>
      <c r="J184" s="3" t="n">
        <v>6.6</v>
      </c>
      <c r="K184" s="3" t="s">
        <v>23</v>
      </c>
      <c r="L184" s="3" t="s">
        <v>18</v>
      </c>
      <c r="M184" s="6" t="n">
        <v>0</v>
      </c>
    </row>
    <row r="185" customFormat="false" ht="15" hidden="false" customHeight="false" outlineLevel="0" collapsed="false">
      <c r="A185" s="3" t="s">
        <v>234</v>
      </c>
      <c r="B185" s="3" t="n">
        <v>52</v>
      </c>
      <c r="C185" s="3" t="s">
        <v>15</v>
      </c>
      <c r="D185" s="4" t="s">
        <v>61</v>
      </c>
      <c r="E185" s="4" t="s">
        <v>89</v>
      </c>
      <c r="F185" s="5" t="n">
        <v>55753</v>
      </c>
      <c r="G185" s="3" t="n">
        <v>3</v>
      </c>
      <c r="H185" s="3" t="n">
        <v>1</v>
      </c>
      <c r="I185" s="3" t="n">
        <v>4</v>
      </c>
      <c r="J185" s="3" t="n">
        <v>6.3</v>
      </c>
      <c r="K185" s="3" t="s">
        <v>18</v>
      </c>
      <c r="L185" s="3" t="s">
        <v>18</v>
      </c>
      <c r="M185" s="6" t="n">
        <v>0</v>
      </c>
    </row>
    <row r="186" customFormat="false" ht="15" hidden="false" customHeight="false" outlineLevel="0" collapsed="false">
      <c r="A186" s="3" t="s">
        <v>235</v>
      </c>
      <c r="B186" s="3" t="n">
        <v>32</v>
      </c>
      <c r="C186" s="3" t="s">
        <v>15</v>
      </c>
      <c r="D186" s="4" t="s">
        <v>16</v>
      </c>
      <c r="E186" s="4" t="s">
        <v>64</v>
      </c>
      <c r="F186" s="5" t="n">
        <v>66932</v>
      </c>
      <c r="G186" s="3" t="n">
        <v>4</v>
      </c>
      <c r="H186" s="3" t="n">
        <v>2</v>
      </c>
      <c r="I186" s="3" t="n">
        <v>1</v>
      </c>
      <c r="J186" s="3" t="n">
        <v>8.7</v>
      </c>
      <c r="K186" s="3" t="s">
        <v>18</v>
      </c>
      <c r="L186" s="3" t="s">
        <v>23</v>
      </c>
      <c r="M186" s="6" t="n">
        <v>1</v>
      </c>
    </row>
    <row r="187" customFormat="false" ht="15" hidden="false" customHeight="false" outlineLevel="0" collapsed="false">
      <c r="A187" s="3" t="s">
        <v>236</v>
      </c>
      <c r="B187" s="3" t="n">
        <v>24</v>
      </c>
      <c r="C187" s="3" t="s">
        <v>20</v>
      </c>
      <c r="D187" s="4" t="s">
        <v>61</v>
      </c>
      <c r="E187" s="4" t="s">
        <v>62</v>
      </c>
      <c r="F187" s="5" t="n">
        <v>54733</v>
      </c>
      <c r="G187" s="3" t="n">
        <v>3</v>
      </c>
      <c r="H187" s="3" t="n">
        <v>2</v>
      </c>
      <c r="I187" s="3" t="n">
        <v>3</v>
      </c>
      <c r="J187" s="3" t="n">
        <v>3.5</v>
      </c>
      <c r="K187" s="3" t="s">
        <v>23</v>
      </c>
      <c r="L187" s="3" t="s">
        <v>18</v>
      </c>
      <c r="M187" s="6" t="n">
        <v>0</v>
      </c>
    </row>
    <row r="188" customFormat="false" ht="15" hidden="false" customHeight="false" outlineLevel="0" collapsed="false">
      <c r="A188" s="3" t="s">
        <v>237</v>
      </c>
      <c r="B188" s="3" t="n">
        <v>51</v>
      </c>
      <c r="C188" s="3" t="s">
        <v>20</v>
      </c>
      <c r="D188" s="4" t="s">
        <v>21</v>
      </c>
      <c r="E188" s="4" t="s">
        <v>22</v>
      </c>
      <c r="F188" s="5" t="n">
        <v>79089</v>
      </c>
      <c r="G188" s="3" t="n">
        <v>1</v>
      </c>
      <c r="H188" s="3" t="n">
        <v>2</v>
      </c>
      <c r="I188" s="3" t="n">
        <v>4</v>
      </c>
      <c r="J188" s="3" t="n">
        <v>6.4</v>
      </c>
      <c r="K188" s="3" t="s">
        <v>18</v>
      </c>
      <c r="L188" s="3" t="s">
        <v>18</v>
      </c>
      <c r="M188" s="6" t="n">
        <v>0</v>
      </c>
    </row>
    <row r="189" customFormat="false" ht="15" hidden="false" customHeight="false" outlineLevel="0" collapsed="false">
      <c r="A189" s="3" t="s">
        <v>238</v>
      </c>
      <c r="B189" s="3" t="n">
        <v>40</v>
      </c>
      <c r="C189" s="3" t="s">
        <v>20</v>
      </c>
      <c r="D189" s="4" t="s">
        <v>61</v>
      </c>
      <c r="E189" s="4" t="s">
        <v>89</v>
      </c>
      <c r="F189" s="5" t="n">
        <v>79575</v>
      </c>
      <c r="G189" s="3" t="n">
        <v>16</v>
      </c>
      <c r="H189" s="3" t="n">
        <v>4</v>
      </c>
      <c r="I189" s="3" t="n">
        <v>3</v>
      </c>
      <c r="J189" s="3" t="n">
        <v>6</v>
      </c>
      <c r="K189" s="3" t="s">
        <v>18</v>
      </c>
      <c r="L189" s="3" t="s">
        <v>18</v>
      </c>
      <c r="M189" s="6" t="n">
        <v>0</v>
      </c>
    </row>
    <row r="190" customFormat="false" ht="15" hidden="false" customHeight="false" outlineLevel="0" collapsed="false">
      <c r="A190" s="3" t="s">
        <v>239</v>
      </c>
      <c r="B190" s="3" t="n">
        <v>40</v>
      </c>
      <c r="C190" s="3" t="s">
        <v>15</v>
      </c>
      <c r="D190" s="4" t="s">
        <v>25</v>
      </c>
      <c r="E190" s="4" t="s">
        <v>39</v>
      </c>
      <c r="F190" s="5" t="n">
        <v>47793</v>
      </c>
      <c r="G190" s="3" t="n">
        <v>8</v>
      </c>
      <c r="H190" s="3" t="n">
        <v>4</v>
      </c>
      <c r="I190" s="3" t="n">
        <v>1</v>
      </c>
      <c r="J190" s="3" t="n">
        <v>9.4</v>
      </c>
      <c r="K190" s="3" t="s">
        <v>23</v>
      </c>
      <c r="L190" s="3" t="s">
        <v>18</v>
      </c>
      <c r="M190" s="6" t="n">
        <v>0</v>
      </c>
    </row>
    <row r="191" customFormat="false" ht="15" hidden="false" customHeight="false" outlineLevel="0" collapsed="false">
      <c r="A191" s="3" t="s">
        <v>240</v>
      </c>
      <c r="B191" s="3" t="n">
        <v>29</v>
      </c>
      <c r="C191" s="3" t="s">
        <v>15</v>
      </c>
      <c r="D191" s="4" t="s">
        <v>16</v>
      </c>
      <c r="E191" s="4" t="s">
        <v>68</v>
      </c>
      <c r="F191" s="5" t="n">
        <v>91868</v>
      </c>
      <c r="G191" s="3" t="n">
        <v>8</v>
      </c>
      <c r="H191" s="3" t="n">
        <v>4</v>
      </c>
      <c r="I191" s="3" t="n">
        <v>3</v>
      </c>
      <c r="J191" s="3" t="n">
        <v>8.7</v>
      </c>
      <c r="K191" s="3" t="s">
        <v>18</v>
      </c>
      <c r="L191" s="3" t="s">
        <v>18</v>
      </c>
      <c r="M191" s="6" t="n">
        <v>0</v>
      </c>
    </row>
    <row r="192" customFormat="false" ht="15" hidden="false" customHeight="false" outlineLevel="0" collapsed="false">
      <c r="A192" s="3" t="s">
        <v>241</v>
      </c>
      <c r="B192" s="3" t="n">
        <v>54</v>
      </c>
      <c r="C192" s="3" t="s">
        <v>20</v>
      </c>
      <c r="D192" s="4" t="s">
        <v>61</v>
      </c>
      <c r="E192" s="4" t="s">
        <v>62</v>
      </c>
      <c r="F192" s="5" t="n">
        <v>49540</v>
      </c>
      <c r="G192" s="3" t="n">
        <v>4</v>
      </c>
      <c r="H192" s="3" t="n">
        <v>4</v>
      </c>
      <c r="I192" s="3" t="n">
        <v>3</v>
      </c>
      <c r="J192" s="3" t="n">
        <v>3.3</v>
      </c>
      <c r="K192" s="3" t="s">
        <v>18</v>
      </c>
      <c r="L192" s="3" t="s">
        <v>18</v>
      </c>
      <c r="M192" s="6" t="n">
        <v>0</v>
      </c>
    </row>
    <row r="193" customFormat="false" ht="15" hidden="false" customHeight="false" outlineLevel="0" collapsed="false">
      <c r="A193" s="3" t="s">
        <v>242</v>
      </c>
      <c r="B193" s="3" t="n">
        <v>38</v>
      </c>
      <c r="C193" s="3" t="s">
        <v>15</v>
      </c>
      <c r="D193" s="4" t="s">
        <v>45</v>
      </c>
      <c r="E193" s="4" t="s">
        <v>46</v>
      </c>
      <c r="F193" s="5" t="n">
        <v>99778</v>
      </c>
      <c r="G193" s="3" t="n">
        <v>14</v>
      </c>
      <c r="H193" s="3" t="n">
        <v>5</v>
      </c>
      <c r="I193" s="3" t="n">
        <v>2</v>
      </c>
      <c r="J193" s="3" t="n">
        <v>8.6</v>
      </c>
      <c r="K193" s="3" t="s">
        <v>18</v>
      </c>
      <c r="L193" s="3" t="s">
        <v>18</v>
      </c>
      <c r="M193" s="6" t="n">
        <v>0</v>
      </c>
    </row>
    <row r="194" customFormat="false" ht="15" hidden="false" customHeight="false" outlineLevel="0" collapsed="false">
      <c r="A194" s="3" t="s">
        <v>243</v>
      </c>
      <c r="B194" s="3" t="n">
        <v>22</v>
      </c>
      <c r="C194" s="3" t="s">
        <v>20</v>
      </c>
      <c r="D194" s="4" t="s">
        <v>25</v>
      </c>
      <c r="E194" s="4" t="s">
        <v>39</v>
      </c>
      <c r="F194" s="5" t="n">
        <v>41083</v>
      </c>
      <c r="G194" s="3" t="n">
        <v>1</v>
      </c>
      <c r="H194" s="3" t="n">
        <v>1</v>
      </c>
      <c r="I194" s="3" t="n">
        <v>4</v>
      </c>
      <c r="J194" s="3" t="n">
        <v>3.5</v>
      </c>
      <c r="K194" s="3" t="s">
        <v>18</v>
      </c>
      <c r="L194" s="3" t="s">
        <v>18</v>
      </c>
      <c r="M194" s="6" t="n">
        <v>0</v>
      </c>
    </row>
    <row r="195" customFormat="false" ht="15" hidden="false" customHeight="false" outlineLevel="0" collapsed="false">
      <c r="A195" s="3" t="s">
        <v>244</v>
      </c>
      <c r="B195" s="3" t="n">
        <v>55</v>
      </c>
      <c r="C195" s="3" t="s">
        <v>15</v>
      </c>
      <c r="D195" s="4" t="s">
        <v>61</v>
      </c>
      <c r="E195" s="4" t="s">
        <v>85</v>
      </c>
      <c r="F195" s="5" t="n">
        <v>90485</v>
      </c>
      <c r="G195" s="3" t="n">
        <v>25</v>
      </c>
      <c r="H195" s="3" t="n">
        <v>1</v>
      </c>
      <c r="I195" s="3" t="n">
        <v>4</v>
      </c>
      <c r="J195" s="3" t="n">
        <v>5.6</v>
      </c>
      <c r="K195" s="3" t="s">
        <v>18</v>
      </c>
      <c r="L195" s="3" t="s">
        <v>18</v>
      </c>
      <c r="M195" s="6" t="n">
        <v>0</v>
      </c>
    </row>
    <row r="196" customFormat="false" ht="15" hidden="false" customHeight="false" outlineLevel="0" collapsed="false">
      <c r="A196" s="3" t="s">
        <v>245</v>
      </c>
      <c r="B196" s="3" t="n">
        <v>37</v>
      </c>
      <c r="C196" s="3" t="s">
        <v>20</v>
      </c>
      <c r="D196" s="4" t="s">
        <v>45</v>
      </c>
      <c r="E196" s="4" t="s">
        <v>46</v>
      </c>
      <c r="F196" s="5" t="n">
        <v>57567</v>
      </c>
      <c r="G196" s="3" t="n">
        <v>1</v>
      </c>
      <c r="H196" s="3" t="n">
        <v>2</v>
      </c>
      <c r="I196" s="3" t="n">
        <v>4</v>
      </c>
      <c r="J196" s="3" t="n">
        <v>7.3</v>
      </c>
      <c r="K196" s="3" t="s">
        <v>23</v>
      </c>
      <c r="L196" s="3" t="s">
        <v>18</v>
      </c>
      <c r="M196" s="6" t="n">
        <v>0</v>
      </c>
    </row>
    <row r="197" customFormat="false" ht="15" hidden="false" customHeight="false" outlineLevel="0" collapsed="false">
      <c r="A197" s="3" t="s">
        <v>246</v>
      </c>
      <c r="B197" s="3" t="n">
        <v>54</v>
      </c>
      <c r="C197" s="3" t="s">
        <v>15</v>
      </c>
      <c r="D197" s="4" t="s">
        <v>61</v>
      </c>
      <c r="E197" s="4" t="s">
        <v>89</v>
      </c>
      <c r="F197" s="5" t="n">
        <v>91608</v>
      </c>
      <c r="G197" s="3" t="n">
        <v>18</v>
      </c>
      <c r="H197" s="3" t="n">
        <v>2</v>
      </c>
      <c r="I197" s="3" t="n">
        <v>3</v>
      </c>
      <c r="J197" s="3" t="n">
        <v>8.4</v>
      </c>
      <c r="K197" s="3" t="s">
        <v>23</v>
      </c>
      <c r="L197" s="3" t="s">
        <v>18</v>
      </c>
      <c r="M197" s="6" t="n">
        <v>0</v>
      </c>
    </row>
    <row r="198" customFormat="false" ht="15" hidden="false" customHeight="false" outlineLevel="0" collapsed="false">
      <c r="A198" s="3" t="s">
        <v>247</v>
      </c>
      <c r="B198" s="3" t="n">
        <v>28</v>
      </c>
      <c r="C198" s="3" t="s">
        <v>15</v>
      </c>
      <c r="D198" s="4" t="s">
        <v>21</v>
      </c>
      <c r="E198" s="4" t="s">
        <v>58</v>
      </c>
      <c r="F198" s="5" t="n">
        <v>84389</v>
      </c>
      <c r="G198" s="3" t="n">
        <v>4</v>
      </c>
      <c r="H198" s="3" t="n">
        <v>2</v>
      </c>
      <c r="I198" s="3" t="n">
        <v>2</v>
      </c>
      <c r="J198" s="3" t="n">
        <v>8.5</v>
      </c>
      <c r="K198" s="3" t="s">
        <v>23</v>
      </c>
      <c r="L198" s="3" t="s">
        <v>18</v>
      </c>
      <c r="M198" s="6" t="n">
        <v>0</v>
      </c>
    </row>
    <row r="199" customFormat="false" ht="15" hidden="false" customHeight="false" outlineLevel="0" collapsed="false">
      <c r="A199" s="3" t="s">
        <v>248</v>
      </c>
      <c r="B199" s="3" t="n">
        <v>55</v>
      </c>
      <c r="C199" s="3" t="s">
        <v>20</v>
      </c>
      <c r="D199" s="4" t="s">
        <v>25</v>
      </c>
      <c r="E199" s="4" t="s">
        <v>54</v>
      </c>
      <c r="F199" s="5" t="n">
        <v>54925</v>
      </c>
      <c r="G199" s="3" t="n">
        <v>17</v>
      </c>
      <c r="H199" s="3" t="n">
        <v>2</v>
      </c>
      <c r="I199" s="3" t="n">
        <v>1</v>
      </c>
      <c r="J199" s="3" t="n">
        <v>5.7</v>
      </c>
      <c r="K199" s="3" t="s">
        <v>18</v>
      </c>
      <c r="L199" s="3" t="s">
        <v>18</v>
      </c>
      <c r="M199" s="6" t="n">
        <v>0</v>
      </c>
    </row>
    <row r="200" customFormat="false" ht="15" hidden="false" customHeight="false" outlineLevel="0" collapsed="false">
      <c r="A200" s="3" t="s">
        <v>249</v>
      </c>
      <c r="B200" s="3" t="n">
        <v>36</v>
      </c>
      <c r="C200" s="3" t="s">
        <v>15</v>
      </c>
      <c r="D200" s="4" t="s">
        <v>28</v>
      </c>
      <c r="E200" s="4" t="s">
        <v>29</v>
      </c>
      <c r="F200" s="5" t="n">
        <v>56554</v>
      </c>
      <c r="G200" s="3" t="n">
        <v>15</v>
      </c>
      <c r="H200" s="3" t="n">
        <v>1</v>
      </c>
      <c r="I200" s="3" t="n">
        <v>2</v>
      </c>
      <c r="J200" s="3" t="n">
        <v>8.8</v>
      </c>
      <c r="K200" s="3" t="s">
        <v>18</v>
      </c>
      <c r="L200" s="3" t="s">
        <v>18</v>
      </c>
      <c r="M200" s="6" t="n">
        <v>0</v>
      </c>
    </row>
    <row r="201" customFormat="false" ht="15" hidden="false" customHeight="false" outlineLevel="0" collapsed="false">
      <c r="A201" s="3" t="s">
        <v>250</v>
      </c>
      <c r="B201" s="3" t="n">
        <v>44</v>
      </c>
      <c r="C201" s="3" t="s">
        <v>20</v>
      </c>
      <c r="D201" s="4" t="s">
        <v>21</v>
      </c>
      <c r="E201" s="4" t="s">
        <v>36</v>
      </c>
      <c r="F201" s="5" t="n">
        <v>113478</v>
      </c>
      <c r="G201" s="3" t="n">
        <v>13</v>
      </c>
      <c r="H201" s="3" t="n">
        <v>3</v>
      </c>
      <c r="I201" s="3" t="n">
        <v>3</v>
      </c>
      <c r="J201" s="3" t="n">
        <v>3.6</v>
      </c>
      <c r="K201" s="3" t="s">
        <v>23</v>
      </c>
      <c r="L201" s="3" t="s">
        <v>18</v>
      </c>
      <c r="M201" s="6" t="n">
        <v>0</v>
      </c>
    </row>
    <row r="202" customFormat="false" ht="15" hidden="false" customHeight="false" outlineLevel="0" collapsed="false">
      <c r="A202" s="3" t="s">
        <v>251</v>
      </c>
      <c r="B202" s="3" t="n">
        <v>45</v>
      </c>
      <c r="C202" s="3" t="s">
        <v>20</v>
      </c>
      <c r="D202" s="4" t="s">
        <v>41</v>
      </c>
      <c r="E202" s="4" t="s">
        <v>74</v>
      </c>
      <c r="F202" s="5" t="n">
        <v>63186</v>
      </c>
      <c r="G202" s="3" t="n">
        <v>18</v>
      </c>
      <c r="H202" s="3" t="n">
        <v>3</v>
      </c>
      <c r="I202" s="3" t="n">
        <v>3</v>
      </c>
      <c r="J202" s="3" t="n">
        <v>5.9</v>
      </c>
      <c r="K202" s="3" t="s">
        <v>18</v>
      </c>
      <c r="L202" s="3" t="s">
        <v>23</v>
      </c>
      <c r="M202" s="6" t="n">
        <v>1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8"/>
  </cols>
  <sheetData>
    <row r="1" customFormat="false" ht="27.75" hidden="false" customHeight="true" outlineLevel="0" collapsed="false">
      <c r="A1" s="1" t="s">
        <v>252</v>
      </c>
      <c r="B1" s="1"/>
      <c r="C1" s="1"/>
      <c r="D1" s="1"/>
    </row>
    <row r="2" customFormat="false" ht="15" hidden="false" customHeight="false" outlineLevel="0" collapsed="false">
      <c r="A2" s="2" t="s">
        <v>253</v>
      </c>
      <c r="B2" s="2" t="s">
        <v>254</v>
      </c>
      <c r="C2" s="2" t="s">
        <v>255</v>
      </c>
      <c r="D2" s="2" t="s">
        <v>256</v>
      </c>
    </row>
    <row r="3" customFormat="false" ht="15" hidden="false" customHeight="false" outlineLevel="0" collapsed="false">
      <c r="A3" s="7" t="s">
        <v>257</v>
      </c>
      <c r="B3" s="8" t="n">
        <f aca="false">COUNTA(Employee_Data!A3:A202)</f>
        <v>200</v>
      </c>
      <c r="C3" s="9" t="n">
        <f aca="false">COUNTA(Employee_Data!A3:A202)</f>
        <v>200</v>
      </c>
      <c r="D3" s="10" t="s">
        <v>258</v>
      </c>
    </row>
    <row r="4" customFormat="false" ht="15" hidden="false" customHeight="false" outlineLevel="0" collapsed="false">
      <c r="A4" s="7" t="s">
        <v>259</v>
      </c>
      <c r="B4" s="8" t="n">
        <f aca="false">COUNTIF(Employee_Data!L3:L202,"Yes")</f>
        <v>44</v>
      </c>
      <c r="C4" s="9" t="n">
        <f aca="false">COUNTIF(Employee_Data!L3:L202,"Yes")</f>
        <v>44</v>
      </c>
      <c r="D4" s="11" t="s">
        <v>260</v>
      </c>
    </row>
    <row r="5" customFormat="false" ht="15" hidden="false" customHeight="false" outlineLevel="0" collapsed="false">
      <c r="A5" s="7" t="s">
        <v>261</v>
      </c>
      <c r="B5" s="12" t="n">
        <f aca="false">COUNTIF(Employee_Data!L3:L202,"Yes")/COUNTA(Employee_Data!A3:A202)</f>
        <v>0.22</v>
      </c>
      <c r="C5" s="9" t="n">
        <f aca="false">COUNTIF(Employee_Data!L3:L202,"Yes")/COUNTA(Employee_Data!A3:A202)</f>
        <v>0.22</v>
      </c>
      <c r="D5" s="11" t="s">
        <v>262</v>
      </c>
    </row>
    <row r="6" customFormat="false" ht="15" hidden="false" customHeight="false" outlineLevel="0" collapsed="false">
      <c r="A6" s="7" t="s">
        <v>263</v>
      </c>
      <c r="B6" s="13" t="n">
        <f aca="false">AVERAGE(Employee_Data!F3:F202)</f>
        <v>68636.385</v>
      </c>
      <c r="C6" s="9" t="n">
        <f aca="false">AVERAGE(Employee_Data!F3:F202)</f>
        <v>68636.385</v>
      </c>
      <c r="D6" s="10" t="s">
        <v>264</v>
      </c>
    </row>
    <row r="7" customFormat="false" ht="15" hidden="false" customHeight="false" outlineLevel="0" collapsed="false">
      <c r="A7" s="7" t="s">
        <v>265</v>
      </c>
      <c r="B7" s="14" t="n">
        <f aca="false">AVERAGE(Employee_Data!G3:G202)</f>
        <v>8.39</v>
      </c>
      <c r="C7" s="9" t="n">
        <f aca="false">AVERAGE(Employee_Data!G3:G202)</f>
        <v>8.39</v>
      </c>
      <c r="D7" s="10" t="s">
        <v>266</v>
      </c>
    </row>
    <row r="8" customFormat="false" ht="15" hidden="false" customHeight="false" outlineLevel="0" collapsed="false">
      <c r="A8" s="7" t="s">
        <v>267</v>
      </c>
      <c r="B8" s="14" t="n">
        <f aca="false">AVERAGE(Employee_Data!B3:B202)</f>
        <v>38.965</v>
      </c>
      <c r="C8" s="9" t="n">
        <f aca="false">AVERAGE(Employee_Data!B3:B202)</f>
        <v>38.965</v>
      </c>
      <c r="D8" s="10" t="s">
        <v>268</v>
      </c>
    </row>
    <row r="9" customFormat="false" ht="15" hidden="false" customHeight="false" outlineLevel="0" collapsed="false">
      <c r="A9" s="7" t="s">
        <v>269</v>
      </c>
      <c r="B9" s="14" t="n">
        <f aca="false">AVERAGE(Employee_Data!J3:J202)</f>
        <v>6.688</v>
      </c>
      <c r="C9" s="9" t="n">
        <f aca="false">AVERAGE(Employee_Data!J3:J202)</f>
        <v>6.688</v>
      </c>
      <c r="D9" s="15" t="s">
        <v>270</v>
      </c>
    </row>
    <row r="10" customFormat="false" ht="15" hidden="false" customHeight="false" outlineLevel="0" collapsed="false">
      <c r="A10" s="7" t="s">
        <v>271</v>
      </c>
      <c r="B10" s="14" t="n">
        <f aca="false">AVERAGE(Employee_Data!I3:I202)</f>
        <v>2.5</v>
      </c>
      <c r="C10" s="9" t="n">
        <f aca="false">AVERAGE(Employee_Data!I3:I202)</f>
        <v>2.5</v>
      </c>
      <c r="D10" s="15" t="s">
        <v>272</v>
      </c>
    </row>
    <row r="11" customFormat="false" ht="15" hidden="false" customHeight="false" outlineLevel="0" collapsed="false">
      <c r="A11" s="7" t="s">
        <v>273</v>
      </c>
      <c r="B11" s="14" t="n">
        <f aca="false">AVERAGE(Employee_Data!H3:H202)</f>
        <v>3.13</v>
      </c>
      <c r="C11" s="9" t="n">
        <f aca="false">AVERAGE(Employee_Data!H3:H202)</f>
        <v>3.13</v>
      </c>
      <c r="D11" s="10" t="s">
        <v>274</v>
      </c>
    </row>
    <row r="12" customFormat="false" ht="15" hidden="false" customHeight="false" outlineLevel="0" collapsed="false">
      <c r="A12" s="7" t="s">
        <v>275</v>
      </c>
      <c r="B12" s="8" t="n">
        <f aca="false">COUNTIF(Employee_Data!K3:K202,"Yes")</f>
        <v>80</v>
      </c>
      <c r="C12" s="9" t="n">
        <f aca="false">COUNTIF(Employee_Data!K3:K202,"Yes")</f>
        <v>80</v>
      </c>
      <c r="D12" s="16" t="s">
        <v>276</v>
      </c>
    </row>
    <row r="13" customFormat="false" ht="15" hidden="false" customHeight="false" outlineLevel="0" collapsed="false">
      <c r="A13" s="7" t="s">
        <v>277</v>
      </c>
      <c r="B13" s="12" t="n">
        <f aca="false">COUNTIFS(Employee_Data!K3:K202,"Yes",Employee_Data!L3:L202,"Yes")/COUNTIF(Employee_Data!K3:K202,"Yes")</f>
        <v>0.2625</v>
      </c>
      <c r="C13" s="9" t="n">
        <f aca="false">COUNTIFS(Employee_Data!K3:K202,"Yes",Employee_Data!L3:L202,"Yes")/COUNTIF(Employee_Data!K3:K202,"Yes")</f>
        <v>0.2625</v>
      </c>
      <c r="D13" s="11" t="s">
        <v>278</v>
      </c>
    </row>
    <row r="14" customFormat="false" ht="15" hidden="false" customHeight="false" outlineLevel="0" collapsed="false">
      <c r="A14" s="7" t="s">
        <v>279</v>
      </c>
      <c r="B14" s="8" t="n">
        <f aca="false">COUNTIF(Employee_Data!C3:C202,"M")</f>
        <v>117</v>
      </c>
      <c r="C14" s="9" t="n">
        <f aca="false">COUNTIF(Employee_Data!C3:C202,"M")</f>
        <v>117</v>
      </c>
      <c r="D14" s="17" t="s">
        <v>280</v>
      </c>
    </row>
    <row r="15" customFormat="false" ht="15" hidden="false" customHeight="false" outlineLevel="0" collapsed="false">
      <c r="A15" s="7" t="s">
        <v>281</v>
      </c>
      <c r="B15" s="8" t="n">
        <f aca="false">COUNTIF(Employee_Data!C3:C202,"F")</f>
        <v>83</v>
      </c>
      <c r="C15" s="9" t="n">
        <f aca="false">COUNTIF(Employee_Data!C3:C202,"F")</f>
        <v>83</v>
      </c>
      <c r="D15" s="17" t="s">
        <v>280</v>
      </c>
    </row>
    <row r="16" customFormat="false" ht="15" hidden="false" customHeight="false" outlineLevel="0" collapsed="false">
      <c r="A16" s="7" t="s">
        <v>282</v>
      </c>
      <c r="B16" s="12" t="n">
        <f aca="false">COUNTIFS(Employee_Data!C3:C202,"F",Employee_Data!L3:L202,"Yes")/COUNTIF(Employee_Data!C3:C202,"F")</f>
        <v>0.265060240963855</v>
      </c>
      <c r="C16" s="9" t="n">
        <f aca="false">COUNTIFS(Employee_Data!C3:C202,"F",Employee_Data!L3:L202,"Yes")/COUNTIF(Employee_Data!C3:C202,"F")</f>
        <v>0.265060240963855</v>
      </c>
      <c r="D16" s="16" t="s">
        <v>283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" t="s">
        <v>284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</v>
      </c>
      <c r="B2" s="2" t="s">
        <v>257</v>
      </c>
      <c r="C2" s="2" t="s">
        <v>285</v>
      </c>
      <c r="D2" s="2" t="s">
        <v>261</v>
      </c>
      <c r="E2" s="2" t="s">
        <v>286</v>
      </c>
      <c r="F2" s="2" t="s">
        <v>287</v>
      </c>
      <c r="G2" s="2" t="s">
        <v>288</v>
      </c>
    </row>
    <row r="3" customFormat="false" ht="15" hidden="false" customHeight="false" outlineLevel="0" collapsed="false">
      <c r="A3" s="18" t="s">
        <v>25</v>
      </c>
      <c r="B3" s="19" t="n">
        <f aca="false">COUNTIF(Employee_Data!D3:D202,A3)</f>
        <v>23</v>
      </c>
      <c r="C3" s="19" t="n">
        <f aca="false">COUNTIFS(Employee_Data!D3:D202,A3,Employee_Data!L3:L202,"Yes")</f>
        <v>6</v>
      </c>
      <c r="D3" s="20" t="n">
        <f aca="false">IF(B3&gt;0,C3/B3,0)</f>
        <v>0.260869565217391</v>
      </c>
      <c r="E3" s="21" t="n">
        <f aca="false">AVERAGEIF(Employee_Data!D3:D202,A3,Employee_Data!F3:F202)</f>
        <v>46834.2173913043</v>
      </c>
      <c r="F3" s="22" t="n">
        <f aca="false">AVERAGEIF(Employee_Data!D3:D202,A3,Employee_Data!J3:J202)</f>
        <v>6.95652173913044</v>
      </c>
      <c r="G3" s="22" t="n">
        <f aca="false">AVERAGEIF(Employee_Data!D3:D202,A3,Employee_Data!G3:G202)</f>
        <v>8.39130434782609</v>
      </c>
    </row>
    <row r="4" customFormat="false" ht="15" hidden="false" customHeight="false" outlineLevel="0" collapsed="false">
      <c r="A4" s="18" t="s">
        <v>16</v>
      </c>
      <c r="B4" s="19" t="n">
        <f aca="false">COUNTIF(Employee_Data!D3:D202,A4)</f>
        <v>32</v>
      </c>
      <c r="C4" s="19" t="n">
        <f aca="false">COUNTIFS(Employee_Data!D3:D202,A4,Employee_Data!L3:L202,"Yes")</f>
        <v>7</v>
      </c>
      <c r="D4" s="20" t="n">
        <f aca="false">IF(B4&gt;0,C4/B4,0)</f>
        <v>0.21875</v>
      </c>
      <c r="E4" s="21" t="n">
        <f aca="false">AVERAGEIF(Employee_Data!D3:D202,A4,Employee_Data!F3:F202)</f>
        <v>89857.625</v>
      </c>
      <c r="F4" s="22" t="n">
        <f aca="false">AVERAGEIF(Employee_Data!D3:D202,A4,Employee_Data!J3:J202)</f>
        <v>7.021875</v>
      </c>
      <c r="G4" s="22" t="n">
        <f aca="false">AVERAGEIF(Employee_Data!D3:D202,A4,Employee_Data!G3:G202)</f>
        <v>8.09375</v>
      </c>
    </row>
    <row r="5" customFormat="false" ht="15" hidden="false" customHeight="false" outlineLevel="0" collapsed="false">
      <c r="A5" s="18" t="s">
        <v>31</v>
      </c>
      <c r="B5" s="19" t="n">
        <f aca="false">COUNTIF(Employee_Data!D3:D202,A5)</f>
        <v>16</v>
      </c>
      <c r="C5" s="19" t="n">
        <f aca="false">COUNTIFS(Employee_Data!D3:D202,A5,Employee_Data!L3:L202,"Yes")</f>
        <v>4</v>
      </c>
      <c r="D5" s="20" t="n">
        <f aca="false">IF(B5&gt;0,C5/B5,0)</f>
        <v>0.25</v>
      </c>
      <c r="E5" s="21" t="n">
        <f aca="false">AVERAGEIF(Employee_Data!D3:D202,A5,Employee_Data!F3:F202)</f>
        <v>59112.375</v>
      </c>
      <c r="F5" s="22" t="n">
        <f aca="false">AVERAGEIF(Employee_Data!D3:D202,A5,Employee_Data!J3:J202)</f>
        <v>7.41875</v>
      </c>
      <c r="G5" s="22" t="n">
        <f aca="false">AVERAGEIF(Employee_Data!D3:D202,A5,Employee_Data!G3:G202)</f>
        <v>9.625</v>
      </c>
    </row>
    <row r="6" customFormat="false" ht="15" hidden="false" customHeight="false" outlineLevel="0" collapsed="false">
      <c r="A6" s="18" t="s">
        <v>45</v>
      </c>
      <c r="B6" s="19" t="n">
        <f aca="false">COUNTIF(Employee_Data!D3:D202,A6)</f>
        <v>35</v>
      </c>
      <c r="C6" s="19" t="n">
        <f aca="false">COUNTIFS(Employee_Data!D3:D202,A6,Employee_Data!L3:L202,"Yes")</f>
        <v>4</v>
      </c>
      <c r="D6" s="20" t="n">
        <f aca="false">IF(B6&gt;0,C6/B6,0)</f>
        <v>0.114285714285714</v>
      </c>
      <c r="E6" s="21" t="n">
        <f aca="false">AVERAGEIF(Employee_Data!D3:D202,A6,Employee_Data!F3:F202)</f>
        <v>75108.7142857143</v>
      </c>
      <c r="F6" s="22" t="n">
        <f aca="false">AVERAGEIF(Employee_Data!D3:D202,A6,Employee_Data!J3:J202)</f>
        <v>6.80571428571429</v>
      </c>
      <c r="G6" s="22" t="n">
        <f aca="false">AVERAGEIF(Employee_Data!D3:D202,A6,Employee_Data!G3:G202)</f>
        <v>6.91428571428572</v>
      </c>
    </row>
    <row r="7" customFormat="false" ht="15" hidden="false" customHeight="false" outlineLevel="0" collapsed="false">
      <c r="A7" s="18" t="s">
        <v>28</v>
      </c>
      <c r="B7" s="19" t="n">
        <f aca="false">COUNTIF(Employee_Data!D3:D202,A7)</f>
        <v>22</v>
      </c>
      <c r="C7" s="19" t="n">
        <f aca="false">COUNTIFS(Employee_Data!D3:D202,A7,Employee_Data!L3:L202,"Yes")</f>
        <v>4</v>
      </c>
      <c r="D7" s="20" t="n">
        <f aca="false">IF(B7&gt;0,C7/B7,0)</f>
        <v>0.181818181818182</v>
      </c>
      <c r="E7" s="21" t="n">
        <f aca="false">AVERAGEIF(Employee_Data!D3:D202,A7,Employee_Data!F3:F202)</f>
        <v>49595.2272727273</v>
      </c>
      <c r="F7" s="22" t="n">
        <f aca="false">AVERAGEIF(Employee_Data!D3:D202,A7,Employee_Data!J3:J202)</f>
        <v>6.33636363636364</v>
      </c>
      <c r="G7" s="22" t="n">
        <f aca="false">AVERAGEIF(Employee_Data!D3:D202,A7,Employee_Data!G3:G202)</f>
        <v>7.40909090909091</v>
      </c>
    </row>
    <row r="8" customFormat="false" ht="15" hidden="false" customHeight="false" outlineLevel="0" collapsed="false">
      <c r="A8" s="18" t="s">
        <v>61</v>
      </c>
      <c r="B8" s="19" t="n">
        <f aca="false">COUNTIF(Employee_Data!D3:D202,A8)</f>
        <v>30</v>
      </c>
      <c r="C8" s="19" t="n">
        <f aca="false">COUNTIFS(Employee_Data!D3:D202,A8,Employee_Data!L3:L202,"Yes")</f>
        <v>7</v>
      </c>
      <c r="D8" s="20" t="n">
        <f aca="false">IF(B8&gt;0,C8/B8,0)</f>
        <v>0.233333333333333</v>
      </c>
      <c r="E8" s="21" t="n">
        <f aca="false">AVERAGEIF(Employee_Data!D3:D202,A8,Employee_Data!F3:F202)</f>
        <v>63747.3</v>
      </c>
      <c r="F8" s="22" t="n">
        <f aca="false">AVERAGEIF(Employee_Data!D3:D202,A8,Employee_Data!J3:J202)</f>
        <v>6.24666666666667</v>
      </c>
      <c r="G8" s="22" t="n">
        <f aca="false">AVERAGEIF(Employee_Data!D3:D202,A8,Employee_Data!G3:G202)</f>
        <v>8.06666666666667</v>
      </c>
    </row>
    <row r="9" customFormat="false" ht="15" hidden="false" customHeight="false" outlineLevel="0" collapsed="false">
      <c r="A9" s="18" t="s">
        <v>21</v>
      </c>
      <c r="B9" s="19" t="n">
        <f aca="false">COUNTIF(Employee_Data!D3:D202,A9)</f>
        <v>23</v>
      </c>
      <c r="C9" s="19" t="n">
        <f aca="false">COUNTIFS(Employee_Data!D3:D202,A9,Employee_Data!L3:L202,"Yes")</f>
        <v>4</v>
      </c>
      <c r="D9" s="20" t="n">
        <f aca="false">IF(B9&gt;0,C9/B9,0)</f>
        <v>0.173913043478261</v>
      </c>
      <c r="E9" s="21" t="n">
        <f aca="false">AVERAGEIF(Employee_Data!D3:D202,A9,Employee_Data!F3:F202)</f>
        <v>98455.4782608696</v>
      </c>
      <c r="F9" s="22" t="n">
        <f aca="false">AVERAGEIF(Employee_Data!D3:D202,A9,Employee_Data!J3:J202)</f>
        <v>6.26086956521739</v>
      </c>
      <c r="G9" s="22" t="n">
        <f aca="false">AVERAGEIF(Employee_Data!D3:D202,A9,Employee_Data!G3:G202)</f>
        <v>8.56521739130435</v>
      </c>
    </row>
    <row r="10" customFormat="false" ht="15" hidden="false" customHeight="false" outlineLevel="0" collapsed="false">
      <c r="A10" s="18" t="s">
        <v>41</v>
      </c>
      <c r="B10" s="19" t="n">
        <f aca="false">COUNTIF(Employee_Data!D3:D202,A10)</f>
        <v>19</v>
      </c>
      <c r="C10" s="19" t="n">
        <f aca="false">COUNTIFS(Employee_Data!D3:D202,A10,Employee_Data!L3:L202,"Yes")</f>
        <v>8</v>
      </c>
      <c r="D10" s="20" t="n">
        <f aca="false">IF(B10&gt;0,C10/B10,0)</f>
        <v>0.421052631578947</v>
      </c>
      <c r="E10" s="21" t="n">
        <f aca="false">AVERAGEIF(Employee_Data!D3:D202,A10,Employee_Data!F3:F202)</f>
        <v>49055.4210526316</v>
      </c>
      <c r="F10" s="22" t="n">
        <f aca="false">AVERAGEIF(Employee_Data!D3:D202,A10,Employee_Data!J3:J202)</f>
        <v>6.58947368421053</v>
      </c>
      <c r="G10" s="22" t="n">
        <f aca="false">AVERAGEIF(Employee_Data!D3:D202,A10,Employee_Data!G3:G202)</f>
        <v>12</v>
      </c>
    </row>
    <row r="11" customFormat="false" ht="15" hidden="false" customHeight="false" outlineLevel="0" collapsed="false">
      <c r="A11" s="23" t="s">
        <v>289</v>
      </c>
      <c r="B11" s="24" t="n">
        <f aca="false">SUM(B3:B10)</f>
        <v>200</v>
      </c>
      <c r="C11" s="24" t="n">
        <f aca="false">SUM(C3:C10)</f>
        <v>44</v>
      </c>
      <c r="D11" s="25" t="n">
        <f aca="false">IF(B11&gt;0,C11/B11,0)</f>
        <v>0.22</v>
      </c>
      <c r="E11" s="26" t="n">
        <f aca="false">AVERAGE(E3:E10)</f>
        <v>66470.7947829059</v>
      </c>
      <c r="F11" s="27" t="n">
        <f aca="false">AVERAGE(F3:F10)</f>
        <v>6.70452932216287</v>
      </c>
      <c r="G11" s="27" t="n">
        <f aca="false">AVERAGE(G3:G10)</f>
        <v>8.63316437864672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0"/>
    <col collapsed="false" customWidth="true" hidden="false" outlineLevel="0" max="5" min="4" style="0" width="18"/>
  </cols>
  <sheetData>
    <row r="1" customFormat="false" ht="27.75" hidden="false" customHeight="true" outlineLevel="0" collapsed="false">
      <c r="A1" s="1" t="s">
        <v>290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291</v>
      </c>
      <c r="B2" s="2" t="s">
        <v>292</v>
      </c>
      <c r="C2" s="2" t="s">
        <v>293</v>
      </c>
      <c r="D2" s="2" t="s">
        <v>294</v>
      </c>
      <c r="E2" s="2" t="s">
        <v>261</v>
      </c>
    </row>
    <row r="3" customFormat="false" ht="15" hidden="false" customHeight="false" outlineLevel="0" collapsed="false">
      <c r="A3" s="18" t="s">
        <v>295</v>
      </c>
      <c r="B3" s="21" t="n">
        <v>0</v>
      </c>
      <c r="C3" s="21" t="n">
        <v>29999</v>
      </c>
      <c r="D3" s="19" t="n">
        <f aca="false">COUNTIFS(Employee_Data!F3:F202,"&gt;="&amp;B3,Employee_Data!F3:F202,"&lt;="&amp;C3)</f>
        <v>0</v>
      </c>
      <c r="E3" s="20" t="n">
        <f aca="false">IF(D3&gt;0,COUNTIFS(Employee_Data!F3:F202,"&gt;="&amp;B3,Employee_Data!F3:F202,"&lt;="&amp;C3,Employee_Data!L3:L202,"Yes")/D3,0)</f>
        <v>0</v>
      </c>
    </row>
    <row r="4" customFormat="false" ht="15" hidden="false" customHeight="false" outlineLevel="0" collapsed="false">
      <c r="A4" s="18" t="s">
        <v>296</v>
      </c>
      <c r="B4" s="21" t="n">
        <v>30000</v>
      </c>
      <c r="C4" s="21" t="n">
        <v>50000</v>
      </c>
      <c r="D4" s="19" t="n">
        <f aca="false">COUNTIFS(Employee_Data!F3:F202,"&gt;="&amp;B4,Employee_Data!F3:F202,"&lt;="&amp;C4)</f>
        <v>51</v>
      </c>
      <c r="E4" s="20" t="n">
        <f aca="false">IF(D4&gt;0,COUNTIFS(Employee_Data!F3:F202,"&gt;="&amp;B4,Employee_Data!F3:F202,"&lt;="&amp;C4,Employee_Data!L3:L202,"Yes")/D4,0)</f>
        <v>0.215686274509804</v>
      </c>
    </row>
    <row r="5" customFormat="false" ht="15" hidden="false" customHeight="false" outlineLevel="0" collapsed="false">
      <c r="A5" s="18" t="s">
        <v>297</v>
      </c>
      <c r="B5" s="21" t="n">
        <v>50001</v>
      </c>
      <c r="C5" s="21" t="n">
        <v>70000</v>
      </c>
      <c r="D5" s="19" t="n">
        <f aca="false">COUNTIFS(Employee_Data!F3:F202,"&gt;="&amp;B5,Employee_Data!F3:F202,"&lt;="&amp;C5)</f>
        <v>65</v>
      </c>
      <c r="E5" s="20" t="n">
        <f aca="false">IF(D5&gt;0,COUNTIFS(Employee_Data!F3:F202,"&gt;="&amp;B5,Employee_Data!F3:F202,"&lt;="&amp;C5,Employee_Data!L3:L202,"Yes")/D5,0)</f>
        <v>0.230769230769231</v>
      </c>
    </row>
    <row r="6" customFormat="false" ht="15" hidden="false" customHeight="false" outlineLevel="0" collapsed="false">
      <c r="A6" s="18" t="s">
        <v>298</v>
      </c>
      <c r="B6" s="21" t="n">
        <v>70001</v>
      </c>
      <c r="C6" s="21" t="n">
        <v>90000</v>
      </c>
      <c r="D6" s="19" t="n">
        <f aca="false">COUNTIFS(Employee_Data!F3:F202,"&gt;="&amp;B6,Employee_Data!F3:F202,"&lt;="&amp;C6)</f>
        <v>46</v>
      </c>
      <c r="E6" s="20" t="n">
        <f aca="false">IF(D6&gt;0,COUNTIFS(Employee_Data!F3:F202,"&gt;="&amp;B6,Employee_Data!F3:F202,"&lt;="&amp;C6,Employee_Data!L3:L202,"Yes")/D6,0)</f>
        <v>0.260869565217391</v>
      </c>
    </row>
    <row r="7" customFormat="false" ht="15" hidden="false" customHeight="false" outlineLevel="0" collapsed="false">
      <c r="A7" s="18" t="s">
        <v>299</v>
      </c>
      <c r="B7" s="21" t="n">
        <v>90001</v>
      </c>
      <c r="C7" s="21"/>
      <c r="D7" s="19" t="n">
        <f aca="false">COUNTIF(Employee_Data!F3:F202,"&gt;="&amp;B7)</f>
        <v>38</v>
      </c>
      <c r="E7" s="20" t="n">
        <f aca="false">IF(D7&gt;0,COUNTIFS(Employee_Data!F3:F202,"&gt;="&amp;B7,Employee_Data!L3:L202,"Yes")/D7,0)</f>
        <v>0.157894736842105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2026-06-09T01:59:52Z</dcterms:created>
  <dc:creator>openpyxl</dc:creator>
  <dc:description/>
  <dc:language>en-US</dc:language>
  <cp:lastModifiedBy/>
  <dcterms:modified xsi:type="dcterms:W3CDTF">2026-06-09T01:59:53Z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